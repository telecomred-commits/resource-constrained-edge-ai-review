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resu\OneDrive\Desktop\FULL\Review\"/>
    </mc:Choice>
  </mc:AlternateContent>
  <xr:revisionPtr revIDLastSave="0" documentId="8_{B45F8086-A423-47E9-ACDA-A629668DBF9E}" xr6:coauthVersionLast="47" xr6:coauthVersionMax="47" xr10:uidLastSave="{00000000-0000-0000-0000-000000000000}"/>
  <bookViews>
    <workbookView xWindow="-108" yWindow="-108" windowWidth="23256" windowHeight="12456" firstSheet="5" activeTab="5" xr2:uid="{00000000-000D-0000-FFFF-FFFF00000000}"/>
  </bookViews>
  <sheets>
    <sheet name="00_README" sheetId="1" r:id="rId1"/>
    <sheet name="01_MASTER_55" sheetId="2" r:id="rId2"/>
    <sheet name="02_CORE_29" sheetId="3" r:id="rId3"/>
    <sheet name="03_COMPLEMENTARY_26" sheetId="4" r:id="rId4"/>
    <sheet name="04_CODEBOOK" sheetId="5" r:id="rId5"/>
    <sheet name="05_REPRODUCIBILITY" sheetId="6" r:id="rId6"/>
    <sheet name="06_QUALITY_CONTROL" sheetId="7" r:id="rId7"/>
    <sheet name="07_PILOT_SUMMARY" sheetId="8" r:id="rId8"/>
    <sheet name="08_BATCH2_SUMMARY" sheetId="9" r:id="rId9"/>
    <sheet name="09_BATCH3_SUMMARY" sheetId="10" r:id="rId10"/>
    <sheet name="10_BATCH4_SUMMARY" sheetId="11" r:id="rId11"/>
    <sheet name="11_COMP_BATCH1" sheetId="12" r:id="rId12"/>
    <sheet name="12_COMP_BATCH2" sheetId="13" r:id="rId13"/>
    <sheet name="13_COMP_BATCH3" sheetId="14" r:id="rId14"/>
    <sheet name="14_COMP_BATCH4"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8" l="1"/>
  <c r="K5" i="8"/>
  <c r="L4" i="8"/>
  <c r="K4" i="8"/>
</calcChain>
</file>

<file path=xl/sharedStrings.xml><?xml version="1.0" encoding="utf-8"?>
<sst xmlns="http://schemas.openxmlformats.org/spreadsheetml/2006/main" count="6294" uniqueCount="3602">
  <si>
    <t>Edge AI Review — Extraction Matrix v9 (All 55 Studies Completed)</t>
  </si>
  <si>
    <t>Purpose</t>
  </si>
  <si>
    <t>Core corpus</t>
  </si>
  <si>
    <t>Complementary corpus</t>
  </si>
  <si>
    <t>Full-text records</t>
  </si>
  <si>
    <t>Current evidence basis</t>
  </si>
  <si>
    <t>Full-text status</t>
  </si>
  <si>
    <t>Version date</t>
  </si>
  <si>
    <t>Rule</t>
  </si>
  <si>
    <t>Structured evidence extraction for the Computing review</t>
  </si>
  <si>
    <t>Supplied manuscript + deterministic analysis package + fifty-four reviewed full-text PDFs; A26 retained abstract-only</t>
  </si>
  <si>
    <t>All 55 references resolved: 28 core full texts + A26 abstract-only + 26 complementary full texts</t>
  </si>
  <si>
    <t>2026-07-31</t>
  </si>
  <si>
    <t>Never infer absent values; preserve measured, simulated, analytical, estimated, claimed, modeled, review-only, and abstract-only provenance</t>
  </si>
  <si>
    <t>Workbook structure</t>
  </si>
  <si>
    <t>Sheet</t>
  </si>
  <si>
    <t>Function</t>
  </si>
  <si>
    <t>Current state</t>
  </si>
  <si>
    <t>Next action</t>
  </si>
  <si>
    <t>01_MASTER_55</t>
  </si>
  <si>
    <t>Bibliographic master and corpus classification</t>
  </si>
  <si>
    <t>All 55 records resolved; 54 full texts reviewed; A26 abstract-only</t>
  </si>
  <si>
    <t>Freeze extraction and begin cross-study audit and quantitative analysis</t>
  </si>
  <si>
    <t>02_CORE_29</t>
  </si>
  <si>
    <t>Exhaustive extraction matrix for the 29 core studies</t>
  </si>
  <si>
    <t>Core corpus complete: 28 full texts + A26 abstract-only</t>
  </si>
  <si>
    <t>Keep core coding frozen</t>
  </si>
  <si>
    <t>03_COMPLEMENTARY_26</t>
  </si>
  <si>
    <t>Directed extraction for the 26 complementary studies</t>
  </si>
  <si>
    <t>Complementary corpus complete: 26 full-text directed extractions</t>
  </si>
  <si>
    <t>Keep complementary coding frozen</t>
  </si>
  <si>
    <t>04_CODEBOOK</t>
  </si>
  <si>
    <t>Definitions, controlled values, and coding rules</t>
  </si>
  <si>
    <t>Validated codebook with provenance/denominator controls</t>
  </si>
  <si>
    <t>Use for final audit and synthesis</t>
  </si>
  <si>
    <t>05_REPRODUCIBILITY</t>
  </si>
  <si>
    <t>Availability audit across all 55 references</t>
  </si>
  <si>
    <t>All 55 references audited for reproducibility</t>
  </si>
  <si>
    <t>Resolve open repository and bibliographic items before final scoring</t>
  </si>
  <si>
    <t>06_QUALITY_CONTROL</t>
  </si>
  <si>
    <t>Issues, ambiguities, and decisions</t>
  </si>
  <si>
    <t>QC findings incorporated through QC-069</t>
  </si>
  <si>
    <t>Close open QC items and define final denominators</t>
  </si>
  <si>
    <t>07_PILOT_SUMMARY</t>
  </si>
  <si>
    <t>Pilot dashboard and extraction readiness</t>
  </si>
  <si>
    <t>5 core + 3 complementary pilot records validated</t>
  </si>
  <si>
    <t>Retain as schema-validation record</t>
  </si>
  <si>
    <t>08_BATCH2_SUMMARY</t>
  </si>
  <si>
    <t>Scaled extraction dashboard for A02–A08 and A10</t>
  </si>
  <si>
    <t>8 Batch 2 core full texts completed</t>
  </si>
  <si>
    <t>Retain as historical dashboard</t>
  </si>
  <si>
    <t>09_BATCH3_SUMMARY</t>
  </si>
  <si>
    <t>Batch 3 dashboard for A25, A28–A34 and abstract-only A26</t>
  </si>
  <si>
    <t>7 Batch 3 core full texts completed; A26 abstract-only</t>
  </si>
  <si>
    <t>10_BATCH4_SUMMARY</t>
  </si>
  <si>
    <t>Final core dashboard for A35–A41 and A172</t>
  </si>
  <si>
    <t>8 Batch 4 core full texts completed; core corpus closed</t>
  </si>
  <si>
    <t>11_COMP_BATCH1</t>
  </si>
  <si>
    <t>Directed extraction dashboard for A21, A22, A50, A61, A98, and A173</t>
  </si>
  <si>
    <t>6 complementary Batch 1 full texts completed</t>
  </si>
  <si>
    <t>1</t>
  </si>
  <si>
    <t>Use only information explicitly supported by the available source.</t>
  </si>
  <si>
    <t>6 complementary Batch 2 full texts completed</t>
  </si>
  <si>
    <t>6 complementary Batch 3 full texts completed</t>
  </si>
  <si>
    <t>12_COMP_BATCH2</t>
  </si>
  <si>
    <t>Directed extraction dashboard for A44, A52, A53, A54, A55, and A91</t>
  </si>
  <si>
    <t>6 complementary full texts completed; 15/26 complementary records now reviewed</t>
  </si>
  <si>
    <t>Proceed with distributed/hybrid deployment complementary batch</t>
  </si>
  <si>
    <t>13_COMP_BATCH3</t>
  </si>
  <si>
    <t>Directed extraction dashboard for A49, A51, A80, A99, A162, and A163</t>
  </si>
  <si>
    <t>6 complementary full texts completed; 21/26 complementary records now reviewed</t>
  </si>
  <si>
    <t>Proceed with the final survey and benchmarking batch</t>
  </si>
  <si>
    <t>14_COMP_BATCH4</t>
  </si>
  <si>
    <t>Final directed extraction dashboard for A42, A47, A94, A96, and A103</t>
  </si>
  <si>
    <t>5 final complementary full texts completed; all 55 references resolved</t>
  </si>
  <si>
    <t>Proceed with denominator audit, quantitative synthesis, figures, and manuscript revision</t>
  </si>
  <si>
    <t>ID</t>
  </si>
  <si>
    <t>Corpus</t>
  </si>
  <si>
    <t>Extraction mode</t>
  </si>
  <si>
    <t>Pilot</t>
  </si>
  <si>
    <t>Extraction status</t>
  </si>
  <si>
    <t>Year</t>
  </si>
  <si>
    <t>Authors</t>
  </si>
  <si>
    <t>Title</t>
  </si>
  <si>
    <t>Venue</t>
  </si>
  <si>
    <t>Document type</t>
  </si>
  <si>
    <t>Publication status</t>
  </si>
  <si>
    <t>Publication verification</t>
  </si>
  <si>
    <t>Preprint</t>
  </si>
  <si>
    <t>DOI / identifier</t>
  </si>
  <si>
    <t>URL</t>
  </si>
  <si>
    <t>Sections supported</t>
  </si>
  <si>
    <t>Inclusion role</t>
  </si>
  <si>
    <t>Available source basis</t>
  </si>
  <si>
    <t>Reference as integrated</t>
  </si>
  <si>
    <t>Notes</t>
  </si>
  <si>
    <t>A01</t>
  </si>
  <si>
    <t>Core</t>
  </si>
  <si>
    <t>Exhaustive</t>
  </si>
  <si>
    <t>Yes</t>
  </si>
  <si>
    <t>Pilot validated — full-text extraction completed</t>
  </si>
  <si>
    <t>2026</t>
  </si>
  <si>
    <t>Vignesh N; Nithishwaran G; Raghul Raj A; Ezhumalai A</t>
  </si>
  <si>
    <t>A TinyML-Augmented Inertial Navigation System for Real-Time Drift Compensation on an STM32 Microcontroller</t>
  </si>
  <si>
    <t>International Journal of Science, Strategic Management and Technology</t>
  </si>
  <si>
    <t>Journal article</t>
  </si>
  <si>
    <t>Published</t>
  </si>
  <si>
    <t>Published version verified</t>
  </si>
  <si>
    <t>No</t>
  </si>
  <si>
    <t>10.55041/ijsmt.v2i5.134</t>
  </si>
  <si>
    <t>https://doi.org/10.55041/ijsmt.v2i5.134</t>
  </si>
  <si>
    <t>2.2 Hardware Platforms and Computing Architectures; 2.3 Models, Learning Tasks, and Data Modalities; 2.5 Deployment Tools, Compilers, and Embedded Runtimes; 2.6 Experimental Validation and Benchmarking; 2.8 Cross-Layer Trade-offs and Recurrent Design Patterns; Table 3 — Comparison of the 29 core studies</t>
  </si>
  <si>
    <t>Detailed comparative evidence</t>
  </si>
  <si>
    <t>Full-text PDF supplied by user</t>
  </si>
  <si>
    <t>Supplied and reviewed</t>
  </si>
  <si>
    <t>Vignesh, N., Nithishwaran, G., Raghul Raj, A., &amp; Ezhumalai, A. (2026). A TinyML-Augmented Inertial Navigation System for Real-Time Drift Compensation on an STM32 Microcontroller. International Journal of Science, Strategic Management and Technology. https://doi.org/10.55041/ijsmt.v2i5.134</t>
  </si>
  <si>
    <t>Pilot full-text extraction completed. PDF title page lists P.S. Karthikkumar plus a different author order than the integrated reference; bibliographic reconciliation is pending.</t>
  </si>
  <si>
    <t>A02</t>
  </si>
  <si>
    <t>Batch 2 — full-text extraction completed</t>
  </si>
  <si>
    <t>2024</t>
  </si>
  <si>
    <t>Maha S. Diab; Esther Rodriguez-Villegas</t>
  </si>
  <si>
    <t>A TinyML Motion-Based Embedded Cough Detection System</t>
  </si>
  <si>
    <t>2024 46th Annual International Conference of the IEEE Engineering in Medicine and Biology Society (EMBC)</t>
  </si>
  <si>
    <t>Conference paper</t>
  </si>
  <si>
    <t>10.1109/embc53108.2024.10782961</t>
  </si>
  <si>
    <t>https://doi.org/10.1109/embc53108.2024.10782961</t>
  </si>
  <si>
    <t>2.2 Hardware Platforms and Computing Architectures; 2.3 Models, Learning Tasks, and Data Modalities; 2.6 Experimental Validation and Benchmarking; Table 3 — Comparison of the 29 core studies</t>
  </si>
  <si>
    <t>Diab, M. S., &amp; Rodriguez-Villegas, E. (2024). A TinyML Motion-Based Embedded Cough Detection System. 2024 46th Annual International Conference of the IEEE Engineering in Medicine and Biology Society (EMBC). https://doi.org/10.1109/embc53108.2024.10782961</t>
  </si>
  <si>
    <t>Batch 2 full-text extraction completed. Physical Thingy:53 deployment confirmed; Edge Impulse latency/memory values are profiler-derived estimates.</t>
  </si>
  <si>
    <t>A03</t>
  </si>
  <si>
    <t>Chan-Kyu Lee; Seung-Ryeol Ohk; Young-Jin Kim</t>
  </si>
  <si>
    <t>Revisiting the Inference Time Optimization of TinyML for ARM-Based Microcontrollers</t>
  </si>
  <si>
    <t>Electronics</t>
  </si>
  <si>
    <t>10.3390/electronics15142997</t>
  </si>
  <si>
    <t>https://doi.org/10.3390/electronics15142997</t>
  </si>
  <si>
    <t>2.1 Evolution and Scope of Resource-Constrained Edge AI; 2.4 Model Optimization and Hardware-Software Co-Design; 2.5 Deployment Tools, Compilers, and Embedded Runtimes; 2.6 Experimental Validation and Benchmarking; 2.8 Cross-Layer Trade-offs and Recurrent Design Patterns; Table 3 — Comparison of the 29 core studies</t>
  </si>
  <si>
    <t>Lee, C.-K., Ohk, S.-R., &amp; Kim, Y.-J. (2026). Revisiting the Inference Time Optimization of TinyML for ARM-Based Microcontrollers. Electronics. https://doi.org/10.3390/electronics15142997</t>
  </si>
  <si>
    <t>Batch 2 full-text extraction completed. D2I physical-board benchmark and toolchain details verified.</t>
  </si>
  <si>
    <t>A04</t>
  </si>
  <si>
    <t>Rohit Chandrakant Kulkarni</t>
  </si>
  <si>
    <t>Ultra-Low Latency AI Systems: Leveraging Edge AI and Semiconductor Acceleration for Local Language Model Inference</t>
  </si>
  <si>
    <t>International Journal of Emerging Trends in Computer Science and Information Technology</t>
  </si>
  <si>
    <t>10.63282/3050-9246.ijetcsit-v7i1p140</t>
  </si>
  <si>
    <t>https://doi.org/10.63282/3050-9246.ijetcsit-v7i1p140</t>
  </si>
  <si>
    <t>2.1 Evolution and Scope of Resource-Constrained Edge AI; 2.2 Hardware Platforms and Computing Architectures; 2.6 Experimental Validation and Benchmarking; Table 3 — Comparison of the 29 core studies</t>
  </si>
  <si>
    <t>Kulkarni, R. C. (2026). Ultra-Low Latency AI Systems: Leveraging Edge AI and Semiconductor Acceleration for Local Language Model Inference. International Journal of Emerging Trends in Computer Science and Information Technology. https://doi.org/10.63282/3050-9246.ijetcsit-v7i1p140</t>
  </si>
  <si>
    <t>Batch 2 full-text extraction completed. Comparative values are under-specified and coded as Claimed/NV; use primarily as conceptual evidence.</t>
  </si>
  <si>
    <t>A05</t>
  </si>
  <si>
    <t>Samuel Longwani Kimpinde; Peter O. Olukanmi</t>
  </si>
  <si>
    <t>Efficient Word-Level Sign Language Recognition Using Quantized Spatiotemporal Deep Learning for Low-Power Microcontrollers</t>
  </si>
  <si>
    <t>Algorithms</t>
  </si>
  <si>
    <t>10.3390/a19040248</t>
  </si>
  <si>
    <t>https://doi.org/10.3390/a19040248</t>
  </si>
  <si>
    <t>2.3 Models, Learning Tasks, and Data Modalities; 2.4 Model Optimization and Hardware-Software Co-Design; 2.5 Deployment Tools, Compilers, and Embedded Runtimes; 2.8 Cross-Layer Trade-offs and Recurrent Design Patterns; Table 3 — Comparison of the 29 core studies</t>
  </si>
  <si>
    <t>Kimpinde, S. L., &amp; Olukanmi, P. O. (2026). Efficient Word-Level Sign Language Recognition Using Quantized Spatiotemporal Deep Learning for Low-Power Microcontrollers. Algorithms. https://doi.org/10.3390/a19040248</t>
  </si>
  <si>
    <t>Batch 2 full-text extraction completed. No physical MCU execution; CPU-proxy profiling and pre-deployment compatibility only.</t>
  </si>
  <si>
    <t>A06</t>
  </si>
  <si>
    <t>Luigi Capogrosso; Michele Magno</t>
  </si>
  <si>
    <t>TinyML Enhances CubeSat Mission Capabilities</t>
  </si>
  <si>
    <t>2026 ACM/IEEE 17th International Conference on Cyber-Physical Systems (ICCPS)</t>
  </si>
  <si>
    <t>10.1109/iccps68698.2026.00026</t>
  </si>
  <si>
    <t>https://doi.org/10.1109/iccps68698.2026.00026</t>
  </si>
  <si>
    <t>2.2 Hardware Platforms and Computing Architectures; 2.4 Model Optimization and Hardware-Software Co-Design; 2.6 Experimental Validation and Benchmarking; 2.8 Cross-Layer Trade-offs and Recurrent Design Patterns; Table 3 — Comparison of the 29 core studies</t>
  </si>
  <si>
    <t>Capogrosso, L., &amp; Magno, M. (2026). TinyML Enhances CubeSat Mission Capabilities. 2026 ACM/IEEE 17th International Conference on Cyber-Physical Systems (ICCPS). https://doi.org/10.1109/iccps68698.2026.00026</t>
  </si>
  <si>
    <t>Batch 2 full-text extraction completed. Physical STM32N6570-DK validation confirmed as laboratory proxy, not CubeSat field/orbit deployment.</t>
  </si>
  <si>
    <t>A07</t>
  </si>
  <si>
    <t>2025</t>
  </si>
  <si>
    <t>Siham Essahraui; Ismail Lamaakal; Yassine Maleh; Khalid El Makkaoui; Mouncef Filali Bouami; Ibrahim Ouahbi; Hela Elmannai; Ahmed A. Abd El-Latif</t>
  </si>
  <si>
    <t>FastKAN-DDD: A novel fast Kolmogorov-Arnold network-based approach for driver drowsiness detection optimized for TinyML deployment</t>
  </si>
  <si>
    <t>PLOS One</t>
  </si>
  <si>
    <t>10.1371/journal.pone.0332577</t>
  </si>
  <si>
    <t>https://doi.org/10.1371/journal.pone.0332577</t>
  </si>
  <si>
    <t>2.6 Experimental Validation and Benchmarking; Table 3 — Comparison of the 29 core studies</t>
  </si>
  <si>
    <t>Essahraui, S., Lamaakal, I., Maleh, Y., El Makkaoui, K., Bouami, M. F., Ouahbi, I., Elmannai, H., &amp; Abd El-Latif, A. A. (2025). FastKAN-DDD: A novel fast Kolmogorov-Arnold network-based approach for driver drowsiness detection optimized for TinyML deployment. PLOS ONE. https://doi.org/10.1371/journal.pone.0332577</t>
  </si>
  <si>
    <t>Batch 2 full-text extraction completed. Predictive validation is subject-disjoint, but latency was measured on a host computer and no MCU was tested.</t>
  </si>
  <si>
    <t>A08</t>
  </si>
  <si>
    <t>Luca Urbinati; Nicoló Decarli; Francesco Guidi; Anna Guerra; BARBARA MAVÌ MASINI; Alberto Zanella</t>
  </si>
  <si>
    <t>On-Device Deep Learning for RIS Beamforming: Design and Latency-Rate Trade-Offs</t>
  </si>
  <si>
    <t>IEEE Open Journal of the Communications Society</t>
  </si>
  <si>
    <t>10.1109/ojcoms.2026.3687306</t>
  </si>
  <si>
    <t>https://doi.org/10.1109/ojcoms.2026.3687306</t>
  </si>
  <si>
    <t>2.3 Models, Learning Tasks, and Data Modalities; 2.4 Model Optimization and Hardware-Software Co-Design; 2.6 Experimental Validation and Benchmarking; 2.8 Cross-Layer Trade-offs and Recurrent Design Patterns; Table 3 — Comparison of the 29 core studies</t>
  </si>
  <si>
    <t>Urbinati, L., Decarli, N., Guidi, F., Guerra, A., Masini, B. M., &amp; Zanella, A. (2026). On-Device Deep Learning for RIS Beamforming: Design and Latency-Rate Trade-Offs. IEEE Open Journal of the Communications Society. https://doi.org/10.1109/ojcoms.2026.3687306</t>
  </si>
  <si>
    <t>Batch 2 full-text extraction completed. Four-MCU physical benchmark and public repository confirmed; no energy measurement.</t>
  </si>
  <si>
    <t>A09</t>
  </si>
  <si>
    <t>Dennis Agyemanh Nana Gookyi; Fortunatus Aabangbio Wulnye; Ewura Abena Essanoah Arthur; Roger Kwao Ahiadormey; Justice Owusu Agyemang; Kwame Opuni-Boachie Obour Agyekum; Raymond Gyaang</t>
  </si>
  <si>
    <t>TinyML for smart agriculture: Comparative analysis of TinyML platforms and practical deployment for maize leaf disease identification</t>
  </si>
  <si>
    <t>Smart Agricultural Technology</t>
  </si>
  <si>
    <t>10.1016/j.atech.2024.100490</t>
  </si>
  <si>
    <t>https://doi.org/10.1016/j.atech.2024.100490</t>
  </si>
  <si>
    <t>2.3 Models, Learning Tasks, and Data Modalities; 2.6 Experimental Validation and Benchmarking; Table 3 — Comparison of the 29 core studies</t>
  </si>
  <si>
    <t>Gookyi, D. A. N., Wulnye, F. A., Arthur, E. A. E., Ahiadormey, R. K., Agyemang, J. O., Agyekum, K. O.-B. O., &amp; Gyaang, R. (2024). TinyML for smart agriculture: Comparative analysis of TinyML platforms and practical deployment for maize leaf disease identification. Smart Agricultural Technology. https://doi.org/10.1016/j.atech.2024.100490</t>
  </si>
  <si>
    <t>Pilot full-text extraction completed. Physical live demonstration confirmed; latency reporting is internally inconsistent and profiler-derived.</t>
  </si>
  <si>
    <t>A10</t>
  </si>
  <si>
    <t>Darvishi, Mostafa</t>
  </si>
  <si>
    <t>Embedded Machine Learning for Microcontroller-Class Edge Devices: Data, Feature, Evaluation, and Deployment Pipelines</t>
  </si>
  <si>
    <t>arXiv</t>
  </si>
  <si>
    <t>Preprint record verified</t>
  </si>
  <si>
    <t>10.48550/arxiv.2606.18122</t>
  </si>
  <si>
    <t>https://arxiv.org/abs/2606.18122</t>
  </si>
  <si>
    <t>Table 3 — Comparison of the 29 core studies</t>
  </si>
  <si>
    <t>Darvishi, M. (2026). Embedded Machine Learning for Microcontroller-Class Edge Devices: Data, Feature, Evaluation, and Deployment Pipelines. arXiv (preprint). https://doi.org/10.48550/arxiv.2606.18122</t>
  </si>
  <si>
    <t>Batch 2 full-text extraction completed. Methodological arXiv preprint with no original empirical hardware/model evidence; use qualitatively.</t>
  </si>
  <si>
    <t>A25</t>
  </si>
  <si>
    <t>Batch 3 — full-text extraction completed</t>
  </si>
  <si>
    <t>Abdulrahman Albaiz; Fathi Amsaad</t>
  </si>
  <si>
    <t>Fully Autonomous Z-Score-Based TinyML Anomaly Detection on Resource-Constrained MCUs using Power Side-Channel Data</t>
  </si>
  <si>
    <t>2026 IEEE 2nd International Conference on Secure IoT, Assured and Trusted Computing (SATC)</t>
  </si>
  <si>
    <t>10.1109/satc69565.2026.11542250</t>
  </si>
  <si>
    <t>https://doi.org/10.1109/satc69565.2026.11542250</t>
  </si>
  <si>
    <t>Albaiz, A., &amp; Amsaad, F. (2026). Fully Autonomous Z-Score-Based TinyML Anomaly Detection on Resource-Constrained MCUs using Power Side-Channel Data. 2026 IEEE 2nd International Conference on Secure IoT, Assured and Trusted Computing (SATC). https://doi.org/10.1109/satc69565.2026.11542250</t>
  </si>
  <si>
    <t>Batch 3 extraction completed. One-appliance 14-day field proof-of-concept; perfect event metrics must not be generalized.</t>
  </si>
  <si>
    <t>A26</t>
  </si>
  <si>
    <t>Abstract-only extraction retained — full text unavailable</t>
  </si>
  <si>
    <t>Yajie Zhu; Hongtao Lu</t>
  </si>
  <si>
    <t>Edge-side NPU inference optimization: Adaptation research of multimodal large models on qualcomm platforms</t>
  </si>
  <si>
    <t>Intelligent Data Analysis: An International Journal</t>
  </si>
  <si>
    <t>10.1177/1088467x251342172</t>
  </si>
  <si>
    <t>https://doi.org/10.1177/1088467x251342172</t>
  </si>
  <si>
    <t>2.1 Evolution and Scope of Resource-Constrained Edge AI; 2.2 Hardware Platforms and Computing Architectures; 2.4 Model Optimization and Hardware-Software Co-Design; 2.6 Experimental Validation and Benchmarking; 2.8 Cross-Layer Trade-offs and Recurrent Design Patterns; Table 3 — Comparison of the 29 core studies</t>
  </si>
  <si>
    <t>Manuscript + analysis package abstract; full text could not be obtained</t>
  </si>
  <si>
    <t>Unavailable — abstract-only</t>
  </si>
  <si>
    <t>Zhu, Y., &amp; Lu, H. (2025). Edge-side NPU inference optimization: Adaptation research of multimodal large models on Qualcomm platforms. Intelligent Data Analysis: An International Journal. https://doi.org/10.1177/1088467x251342172</t>
  </si>
  <si>
    <t>Exclude from full-text, measured-hardware, and quantitative performance denominators. Use only as thematic NPU/Edge-GenAI evidence.</t>
  </si>
  <si>
    <t>A27</t>
  </si>
  <si>
    <t>2023</t>
  </si>
  <si>
    <t>Mara Pistellato; Filippo Bergamasco; Gianluca Bigaglia; Andrea Gasparetto; Andrea Albarelli; Marco Boschetti; Roberto Passerone</t>
  </si>
  <si>
    <t>Quantization-Aware NN Layers with High-throughput FPGA Implementation for Edge AI</t>
  </si>
  <si>
    <t>Sensors</t>
  </si>
  <si>
    <t>10.3390/s23104667</t>
  </si>
  <si>
    <t>https://doi.org/10.3390/s23104667</t>
  </si>
  <si>
    <t>2.2 Hardware Platforms and Computing Architectures; 2.6 Experimental Validation and Benchmarking; 2.8 Cross-Layer Trade-offs and Recurrent Design Patterns; Table 3 — Comparison of the 29 core studies</t>
  </si>
  <si>
    <t>Pistellato, M., Bergamasco, F., Bigaglia, G., Gasparetto, A., Albarelli, A., Boschetti, M., &amp; Passerone, R. (2023). Quantization-Aware NN Layers with High-throughput FPGA Implementation for Edge AI. Sensors. https://doi.org/10.3390/s23104667</t>
  </si>
  <si>
    <t>Pilot full-text extraction completed; see corpus sheet and quality-control log.</t>
  </si>
  <si>
    <t>A28</t>
  </si>
  <si>
    <t>Vidapankal Mohammad Fridous; Abhishek Agarwal; K. B. Bhaskar; V. Nandagopal; N. Sivakamasundari</t>
  </si>
  <si>
    <t>Optimization and Benchmarking of Lightweight Neural Networks for Efficient Embedded AI Deployment</t>
  </si>
  <si>
    <t>Engineering Reports</t>
  </si>
  <si>
    <t>10.1002/eng2.70814</t>
  </si>
  <si>
    <t>https://doi.org/10.1002/eng2.70814</t>
  </si>
  <si>
    <t>2.4 Model Optimization and Hardware-Software Co-Design; 2.8 Cross-Layer Trade-offs and Recurrent Design Patterns; Table 3 — Comparison of the 29 core studies</t>
  </si>
  <si>
    <t>Fridous, V. M., Agarwal, A., Bhaskar, K. B., Nandagopal, V., &amp; Sivakamasundari, N. (2026). Optimization and Benchmarking of Lightweight Neural Networks for Efficient Embedded AI Deployment. Engineering Reports. https://doi.org/10.1002/eng2.70814</t>
  </si>
  <si>
    <t>Cross-platform results extracted; exact STM32 target and power instrumentation are incompletely specified, so confidence is Medium.</t>
  </si>
  <si>
    <t>A29</t>
  </si>
  <si>
    <t>Jutarut Chaoraingern; Arjin Numsomran</t>
  </si>
  <si>
    <t>Embedded Sensor Data Fusion and TinyML for Real-Time Remaining Useful Life Estimation of UAV Li Polymer Batteries</t>
  </si>
  <si>
    <t>10.3390/s25123810</t>
  </si>
  <si>
    <t>https://doi.org/10.3390/s25123810</t>
  </si>
  <si>
    <t>2.3 Models, Learning Tasks, and Data Modalities; 2.5 Deployment Tools, Compilers, and Embedded Runtimes; Table 3 — Comparison of the 29 core studies</t>
  </si>
  <si>
    <t>Chaoraingern, J., &amp; Numsomran, A. (2025). Embedded Sensor Data Fusion and TinyML for Real-Time Remaining Useful Life Estimation of UAV Li Polymer Batteries. Sensors. https://doi.org/10.3390/s25123810</t>
  </si>
  <si>
    <t>Physical UAV demonstration confirmed. Separate predictive results from Edge Impulse profiler-derived latency/RAM/Flash.</t>
  </si>
  <si>
    <t>A30</t>
  </si>
  <si>
    <t>Andrea Apicella; Pasquale Arpaia; Luigi Capobianco; Francesco Caputo; Antonella Cioffi; Antonio Esposito; Francesco Isgrò; Rosanna Manzo; Nicola Moccaldi; Danilo Pau; Ettore Toscano</t>
  </si>
  <si>
    <t>Energy consumption assessment in embedded AI: Metrological improvements of benchmarks for edge devices</t>
  </si>
  <si>
    <t>Computer Standards &amp; Interfaces</t>
  </si>
  <si>
    <t>10.1016/j.csi.2025.104120</t>
  </si>
  <si>
    <t>https://doi.org/10.1016/j.csi.2025.104120</t>
  </si>
  <si>
    <t>2.1 Evolution and Scope of Resource-Constrained Edge AI; 2.6 Experimental Validation and Benchmarking; 3.1 Fragmented Benchmarking and Incomplete System-Level Reporting; Table 3 — Comparison of the 29 core studies</t>
  </si>
  <si>
    <t>Apicella, A., Arpaia, P., Capobianco, L., Caputo, F., Cioffi, A., Esposito, A., Isgrò, F., Manzo, R., Moccaldi, N., Pau, D., &amp; Toscano, E. (2026). Energy consumption assessment in embedded AI: Metrological improvements of benchmarks for edge devices. Computer Standards &amp; Interfaces. https://doi.org/10.1016/j.csi.2025.104120</t>
  </si>
  <si>
    <t>A31</t>
  </si>
  <si>
    <t>Batch 3 — full-text extraction completed; evidence restricted</t>
  </si>
  <si>
    <t>Mangesh Pujari; Anshul Goel; Anil Kumar Pakina</t>
  </si>
  <si>
    <t>Efficient TinyML Architectures for On-Device Small Language Models: Privacy-Preserving Inference at the Edge</t>
  </si>
  <si>
    <t>International Journal Science and Technology</t>
  </si>
  <si>
    <t>10.56127/ijst.v3i3.1958</t>
  </si>
  <si>
    <t>https://doi.org/10.56127/ijst.v3i3.1958</t>
  </si>
  <si>
    <t>2.1 Evolution and Scope of Resource-Constrained Edge AI; 2.2 Hardware Platforms and Computing Architectures; 2.3 Models, Learning Tasks, and Data Modalities; 2.4 Model Optimization and Hardware-Software Co-Design; 2.6 Experimental Validation and Benchmarking; 2.8 Cross-Layer Trade-offs and Recurrent Design Patterns; 3.3 Energy, Robustness, Privacy, Security, and Adaptation; Table 3 — Comparison of the 29 core studies</t>
  </si>
  <si>
    <t>Supplied and reviewed — low confidence</t>
  </si>
  <si>
    <t>Pujari, M., Goel, A., &amp; Pakina, A. K. (2024). Efficient TinyML Architectures for On-Device Small Language Models: Privacy-Preserving Inference at the Edge. International Journal Science and Technology. https://doi.org/10.56127/ijst.v3i3.1958</t>
  </si>
  <si>
    <t>Internal model/task/hardware-memory inconsistencies and unsupported abstract claims; exclude from robust empirical denominators.</t>
  </si>
  <si>
    <t>A32</t>
  </si>
  <si>
    <t>Rachmad Vidya Wicaksana Putra; Muhammad Shafique</t>
  </si>
  <si>
    <t>SpikeNAS: A Fast Memory-Aware Neural Architecture Search Framework for Spiking Neural Network-Based Embedded AI Systems</t>
  </si>
  <si>
    <t>IEEE Transactions on Artificial Intelligence</t>
  </si>
  <si>
    <t>10.1109/tai.2025.3586238</t>
  </si>
  <si>
    <t>https://doi.org/10.1109/tai.2025.3586238</t>
  </si>
  <si>
    <t>2.3 Models, Learning Tasks, and Data Modalities; 2.4 Model Optimization and Hardware-Software Co-Design; 2.6 Experimental Validation and Benchmarking; Table 3 — Comparison of the 29 core studies</t>
  </si>
  <si>
    <t>Putra, R. V. W., &amp; Shafique, M. (2026). SpikeNAS: A Fast Memory-Aware Neural Architecture Search Framework for Spiking Neural Network-Based Embedded AI Systems. IEEE Transactions on Artificial Intelligence. https://doi.org/10.1109/tai.2025.3586238</t>
  </si>
  <si>
    <t>NAS/SNN benchmark extracted. Parameter counts are memory proxies and energy is estimated search energy, not inference energy.</t>
  </si>
  <si>
    <t>A33</t>
  </si>
  <si>
    <t>Batch 3 — full-text review completed; non-empirical</t>
  </si>
  <si>
    <t>Chenhe Zhu</t>
  </si>
  <si>
    <t>AI Compilation and Hardware-Software Co-Design for Resource-Constrained Edge Devices: A Brief Review</t>
  </si>
  <si>
    <t>Applied and Computational Engineering</t>
  </si>
  <si>
    <t>Conference proceeding — brief narrative review</t>
  </si>
  <si>
    <t>10.54254/2755-2721/2026.ch35364</t>
  </si>
  <si>
    <t>https://doi.org/10.54254/2755-2721/2026.ch35364</t>
  </si>
  <si>
    <t>2.4 Model Optimization and Hardware-Software Co-Design; 2.6 Experimental Validation and Benchmarking; Table 3 — Comparison of the 29 core studies</t>
  </si>
  <si>
    <t>Supplied and reviewed — review source</t>
  </si>
  <si>
    <t>Zhu, C. (2026). AI Compilation and Hardware-Software Co-Design for Resource-Constrained Edge Devices: A Brief Review. Applied and Computational Engineering. https://doi.org/10.54254/2755-2721/2026.ch35364</t>
  </si>
  <si>
    <t>Use as compiler/co-design background only; exclude from empirical denominators.</t>
  </si>
  <si>
    <t>A34</t>
  </si>
  <si>
    <t>Anupama P. Patil</t>
  </si>
  <si>
    <t>Edge-Based Tinyml Framework for Intelligent Cardiac Drug Response Monitoring Using Embedded Hardware Software Co-Design</t>
  </si>
  <si>
    <t>International Journal of Drug Delivery Technology</t>
  </si>
  <si>
    <t>10.25258/ijddt.16.6s.75</t>
  </si>
  <si>
    <t>https://doi.org/10.25258/ijddt.16.6s.75</t>
  </si>
  <si>
    <t>Patil, A. P. (2026). Edge-Based TinyML Framework for Intelligent Cardiac Drug Response Monitoring Using Embedded Hardware Software Co-Design. International Journal of Drug Delivery Technology. https://doi.org/10.25258/ijddt.16.6s.75</t>
  </si>
  <si>
    <t>Dataset, ethics, device, protocol, and artifacts are missing; quantitative values conflict internally. Exclude from robust empirical denominators.</t>
  </si>
  <si>
    <t>A35</t>
  </si>
  <si>
    <t>Batch 4 — full-text extraction completed</t>
  </si>
  <si>
    <t>Mehdi Attioui; Mohamed Lahby</t>
  </si>
  <si>
    <t>Sustainable Traffic Congestion Forecasting Through Lightweight Explainable AI and TinyML Edge Deployment: A Casablanca Case Study</t>
  </si>
  <si>
    <t>Sustainability</t>
  </si>
  <si>
    <t>10.3390/su18094439</t>
  </si>
  <si>
    <t>https://doi.org/10.3390/su18094439</t>
  </si>
  <si>
    <t>Attioui, M., &amp; Lahby, M. (2026). Sustainable Traffic Congestion Forecasting Through Lightweight Explainable AI and TinyML Edge Deployment: A Casablanca Case Study. Sustainability. https://doi.org/10.3390/su18094439</t>
  </si>
  <si>
    <t>Simulation-trained model with physical ESP32 timing; power is estimated and no real traffic field deployment occurred.</t>
  </si>
  <si>
    <t>A36</t>
  </si>
  <si>
    <t>Batch 4 — full-text extraction completed; evidence restricted</t>
  </si>
  <si>
    <t>M Kavitha</t>
  </si>
  <si>
    <t>Energy-Efficient Edge-AI Accelerator Design Using Reconfigurable FPGA-Based VLSI Architecture</t>
  </si>
  <si>
    <t>Journal of VLSI and Embedded System Design</t>
  </si>
  <si>
    <t>10.66054/jvesd/01.01.04</t>
  </si>
  <si>
    <t>https://doi.org/10.66054/jvesd/01.01.04</t>
  </si>
  <si>
    <t>Kavitha, M. (2025). Energy-Efficient Edge-AI Accelerator Design Using Reconfigurable FPGA-Based VLSI Architecture. Journal of VLSI and Embedded System Design. https://doi.org/10.66054/jvesd/01.01.04</t>
  </si>
  <si>
    <t>FPGA, workload, toolchain, and measurement setup are not identified; exclude numerical claims from robust denominators.</t>
  </si>
  <si>
    <t>A37</t>
  </si>
  <si>
    <t>Wilson Gustavo Chango; Mayra Barrera; Daniel Maldonado-Ruiz; Julio Balarezo; Marcelo V. Garcia; Geovanny Silva</t>
  </si>
  <si>
    <t>Design and Evaluation of a Compact VGG-Inspired CNN for Keyword Spotting in Resource-Constrained TinyML Systems</t>
  </si>
  <si>
    <t>Computation</t>
  </si>
  <si>
    <t>10.3390/computation14050112</t>
  </si>
  <si>
    <t>https://doi.org/10.3390/computation14050112</t>
  </si>
  <si>
    <t>Chango, W. G., Barrera, M., Maldonado-Ruiz, D., Balarezo, J., Garcia, M. V., &amp; Silva, G. (2026). Design and Evaluation of a Compact VGG-Inspired CNN for Keyword Spotting in Resource-Constrained TinyML Systems. Computation. https://doi.org/10.3390/computation14050112</t>
  </si>
  <si>
    <t>Speaker-independent predictive evaluation and public Zenodo artifacts; deployment metrics are hardware simulation, not physical MCU measurements.</t>
  </si>
  <si>
    <t>A38</t>
  </si>
  <si>
    <t>Seda Bayat Toksöz; Gültekin Işik</t>
  </si>
  <si>
    <t>SQ-LoRA: Memory-Efficient Language Model Compression Through Stable-Rank-Guided Quantization for Edge Computing Applications</t>
  </si>
  <si>
    <t>Applied Sciences</t>
  </si>
  <si>
    <t>10.3390/app16042113</t>
  </si>
  <si>
    <t>https://doi.org/10.3390/app16042113</t>
  </si>
  <si>
    <t>2.1 Evolution and Scope of Resource-Constrained Edge AI; 2.3 Models, Learning Tasks, and Data Modalities; 2.4 Model Optimization and Hardware-Software Co-Design; 2.6 Experimental Validation and Benchmarking; Table 3 — Comparison of the 29 core studies</t>
  </si>
  <si>
    <t>Toksöz, S. B., &amp; Işik, G. (2026). SQ-LoRA: Memory-Efficient Language Model Compression Through Stable-Rank-Guided Quantization for Edge Computing Applications. Applied Sciences. https://doi.org/10.3390/app16042113</t>
  </si>
  <si>
    <t>Physical Jetson/Pi results are reported, mobile results simulated; device runtime and power instrumentation remain incomplete.</t>
  </si>
  <si>
    <t>A39</t>
  </si>
  <si>
    <t>Batch 4 — full-text review completed; non-empirical survey</t>
  </si>
  <si>
    <t>Miriana Passarotto; Fehmi Ben Abdesslem; Joakim Eriksson; Thiemo Voigt</t>
  </si>
  <si>
    <t>Edge AI on Constrained Devices: A Survey of Deployment, Optimization, and Lifecycle Management</t>
  </si>
  <si>
    <t>ACM Transactions on Embedded Computing Systems</t>
  </si>
  <si>
    <t>10.1145/3827611</t>
  </si>
  <si>
    <t>https://doi.org/10.1145/3827611</t>
  </si>
  <si>
    <t>2.6 Experimental Validation and Benchmarking; 2.8 Cross-Layer Trade-offs and Recurrent Design Patterns; 3.1 Fragmented Benchmarking and Incomplete System-Level Reporting; Table 3 — Comparison of the 29 core studies</t>
  </si>
  <si>
    <t>Supplied and reviewed — survey source</t>
  </si>
  <si>
    <t>Passarotto, M., Abdesslem, F. B., Eriksson, J., &amp; Voigt, T. (2026). Edge AI on Constrained Devices: A Survey of Deployment, Optimization, and Lifecycle Management. ACM Transactions on Embedded Computing Systems. https://doi.org/10.1145/3827611</t>
  </si>
  <si>
    <t>Use as lifecycle/toolchain taxonomy and conceptual background; exclude from empirical denominators.</t>
  </si>
  <si>
    <t>A40</t>
  </si>
  <si>
    <t>Riccardo Berta; Ali Dabbous; Luca Lazzaroni; Danilo Pietro Pau; Francesco Bellotti</t>
  </si>
  <si>
    <t>Developing a TinyML Image Classifier in an Hour</t>
  </si>
  <si>
    <t>IEEE Open Journal of the Industrial Electronics Society</t>
  </si>
  <si>
    <t>10.1109/ojies.2024.3451959</t>
  </si>
  <si>
    <t>https://doi.org/10.1109/ojies.2024.3451959</t>
  </si>
  <si>
    <t>Berta, R., Dabbous, A., Lazzaroni, L., Pau, D. P., &amp; Bellotti, F. (2024). Developing a TinyML Image Classifier in an Hour. IEEE Open Journal of the Industrial Electronics Society. https://doi.org/10.1109/ojies.2024.3451959</t>
  </si>
  <si>
    <t>Strong physical five-MCU benchmark and open-source TICE notebook; distinguish profiler memory metrics from measured energy.</t>
  </si>
  <si>
    <t>A41</t>
  </si>
  <si>
    <t>Sangoju Venkata Sri Lakshmi Sohini; Modugu Dileep Kumar</t>
  </si>
  <si>
    <t>Edge AI: Deploying Machine Learning Models on Resource-Constrained Devices</t>
  </si>
  <si>
    <t>International Scientific Journal of Engineering and Management</t>
  </si>
  <si>
    <t>10.55041/isjem06235</t>
  </si>
  <si>
    <t>https://doi.org/10.55041/isjem06235</t>
  </si>
  <si>
    <t>2.5 Deployment Tools, Compilers, and Embedded Runtimes; 2.6 Experimental Validation and Benchmarking; Table 3 — Comparison of the 29 core studies</t>
  </si>
  <si>
    <t>Sohini, S. V. S. L., &amp; Kumar, M. D. (2026). Edge AI: Deploying Machine Learning Models on Resource-Constrained Devices. International Scientific Journal of Engineering and Management. https://doi.org/10.55041/isjem06235</t>
  </si>
  <si>
    <t>No dataset/model/device/protocol and internally conflicting tables; exclude from empirical denominators.</t>
  </si>
  <si>
    <t>A155</t>
  </si>
  <si>
    <t>2021</t>
  </si>
  <si>
    <t>Haoyu Ren; Darko Anicic; Thomas A. Runkler</t>
  </si>
  <si>
    <t>TinyOL: TinyML with Online-Learning on Microcontrollers</t>
  </si>
  <si>
    <t>2021 International Joint Conference on Neural Networks (IJCNN)</t>
  </si>
  <si>
    <t>10.1109/ijcnn52387.2021.9533927</t>
  </si>
  <si>
    <t>https://doi.org/10.1109/ijcnn52387.2021.9533927</t>
  </si>
  <si>
    <t>2.1 Evolution and Scope of Resource-Constrained Edge AI; 2.8 Cross-Layer Trade-offs and Recurrent Design Patterns; 3.3 Energy, Robustness, Privacy, Security, and Adaptation; Table 3 — Comparison of the 29 core studies</t>
  </si>
  <si>
    <t>Ren, H., Anicic, D., &amp; Runkler, T. A. (2021). TinyOL: TinyML with Online-Learning on Microcontrollers. 2021 International Joint Conference on Neural Networks (IJCNN). https://doi.org/10.1109/ijcnn52387.2021.9533927</t>
  </si>
  <si>
    <t>A172</t>
  </si>
  <si>
    <t>Seyed Milad Ebrahimipour; Seyyed Hasan Mozafari; James J. Clark; Warren J. Gross; Brett H. Meyer</t>
  </si>
  <si>
    <t>Latency-Aware Pruning and Quantization of Self-Supervised Speech Transformers for Edge Devices</t>
  </si>
  <si>
    <t>10.1145/3746638</t>
  </si>
  <si>
    <t>https://doi.org/10.1145/3746638</t>
  </si>
  <si>
    <t>2.4 Model Optimization and Hardware-Software Co-Design; Table 3 — Comparison of the 29 core studies</t>
  </si>
  <si>
    <t>Ebrahimipour, S. M., Mozafari, S. H., Clark, J. J., Gross, W. J., &amp; Meyer, B. H. (2026). Latency-Aware Pruning and Quantization of Self-Supervised Speech Transformers for Edge Devices. ACM Transactions on Embedded Computing Systems. https://doi.org/10.1145/3746638</t>
  </si>
  <si>
    <t>Strong HiKey970 latency/memory evidence; energy is not measured and absolute latency is not the primary reported metric.</t>
  </si>
  <si>
    <t>A173</t>
  </si>
  <si>
    <t>Complementary</t>
  </si>
  <si>
    <t>Directed</t>
  </si>
  <si>
    <t>Complementary batch 1 — directed full-text extraction completed</t>
  </si>
  <si>
    <t>2020</t>
  </si>
  <si>
    <t>Leonardo Ravaglia; Manuele Rusci; Alessandro Capotondi; Francesco Conti; Lorenzo Pellegrini; Vincenzo Lomonaco; Davide Maltoni; Luca Benini</t>
  </si>
  <si>
    <t>Memory-Latency-Accuracy Trade-Offs for Continual Learning on a RISC-V Extreme-Edge Node</t>
  </si>
  <si>
    <t>2020 IEEE Workshop on Signal Processing Systems (SiPS)</t>
  </si>
  <si>
    <t>10.1109/sips50750.2020.9195220</t>
  </si>
  <si>
    <t>https://doi.org/10.1109/sips50750.2020.9195220</t>
  </si>
  <si>
    <t>2.8 Cross-Layer Trade-offs and Recurrent Design Patterns; 3.3 Energy, Robustness, Privacy, Security, and Adaptation</t>
  </si>
  <si>
    <t>Continual learning trade-offs and adaptation cost</t>
  </si>
  <si>
    <t>Full-text conference PDF supplied by user</t>
  </si>
  <si>
    <t>Ravaglia, L., Rusci, M., Capotondi, A., Conti, F., Pellegrini, L., Lomonaco, V., Maltoni, D., &amp; Benini, L. (2020). Memory-Latency-Accuracy Trade-Offs for Continual Learning on a RISC-V Extreme-Edge Node. 2020 IEEE Workshop on Signal Processing Systems (SiPS). https://doi.org/10.1109/sips50750.2020.9195220</t>
  </si>
  <si>
    <t>Continual-learning trade-offs extracted. Latency is cycle-accurate simulation and energy is estimated from a related MrWolf silicon prototype.</t>
  </si>
  <si>
    <t>A21</t>
  </si>
  <si>
    <t>Colby Banbury; Chuteng Zhou; Igor Fedorov; Ramon Matas Navarro; Urmish Thakker; Dibakar Gope; Vijay Janapa Reddi; Matthew Mattina; Paul N. Whatmough</t>
  </si>
  <si>
    <t>MicroNets: Neural Network Architectures for Deploying TinyML Applications on Commodity Microcontrollers</t>
  </si>
  <si>
    <t>http://arxiv.org/abs/2010.11267v6</t>
  </si>
  <si>
    <t>2.1 Evolution and Scope of Resource-Constrained Edge AI</t>
  </si>
  <si>
    <t>Historical architecture baseline for commodity MCUs</t>
  </si>
  <si>
    <t>MLSys 2021 proceedings PDF supplied by user</t>
  </si>
  <si>
    <t>Supplied and reviewed; publication-version reconciliation pending</t>
  </si>
  <si>
    <t>Banbury, C., Zhou, C., Fedorov, I., Matas Navarro, R., Thakker, U., Gope, D., Reddi, V. J., Mattina, M., &amp; Whatmough, P. N. (2020). MicroNets: Neural network architectures for deploying TinyML applications on commodity microcontrollers. arXiv (preprint). http://arxiv.org/abs/2010.11267v6</t>
  </si>
  <si>
    <t>The supplied source is the MLSys 2021 proceedings version, while the integrated bibliography/preprint flag identifies an arXiv preprint. The preprint label is retained pending an agreed bibliographic correction.</t>
  </si>
  <si>
    <t>A22</t>
  </si>
  <si>
    <t>Andrew Sabot; Vikas Natesh; H. T. Kung; Wei-Te Ting</t>
  </si>
  <si>
    <t>MEMA Runtime Framework: Minimizing External Memory Accesses for TinyML on Microcontrollers</t>
  </si>
  <si>
    <t>http://arxiv.org/abs/2304.05544v1</t>
  </si>
  <si>
    <t>Runtime memory-traffic reduction</t>
  </si>
  <si>
    <t>Full-text arXiv preprint supplied by user</t>
  </si>
  <si>
    <t>Sabot, A., Natesh, V., Kung, H. T., &amp; Ting, W.-T. (2023). MEMA Runtime Framework: Minimizing external memory accesses for TinyML on microcontrollers. arXiv (preprint). http://arxiv.org/abs/2304.05544v1</t>
  </si>
  <si>
    <t>Physical multi-platform kernel benchmark and public MEMA-MM code extracted; remains flagged as a preprint.</t>
  </si>
  <si>
    <t>A42</t>
  </si>
  <si>
    <t>Complementary batch 4 — directed full-text review completed; systematic review</t>
  </si>
  <si>
    <t>Ruth Cordova-Cardenas; Daniel Amor; Álvaro Gutiérrez</t>
  </si>
  <si>
    <t>Edge AI in Practice: A Survey and Deployment Framework for Neural Networks on Embedded Systems</t>
  </si>
  <si>
    <t>10.3390/electronics14244877</t>
  </si>
  <si>
    <t>https://doi.org/10.3390/electronics14244877</t>
  </si>
  <si>
    <t>Table 2 — Thematic contribution of outside-quota publications</t>
  </si>
  <si>
    <t>Survey and deployment framework</t>
  </si>
  <si>
    <t>Full-text journal PDF supplied by user</t>
  </si>
  <si>
    <t>Supplied and reviewed — systematic review</t>
  </si>
  <si>
    <t>Cordova-Cardenas, R., Amor, D., &amp; Gutiérrez, Á. (2025). Edge AI in practice: A survey and deployment framework for neural networks on embedded systems. Electronics. https://doi.org/10.3390/electronics14244877</t>
  </si>
  <si>
    <t>PRISMA/OSF protocol and 60-study synthesis; use as methodological and conceptual evidence, not original hardware performance.</t>
  </si>
  <si>
    <t>A44</t>
  </si>
  <si>
    <t>Complementary batch 2 — directed full-text extraction completed</t>
  </si>
  <si>
    <t>Abdulaziz G. Alanazi; Haifa A. Alanazi; Nasser S. Albalawi</t>
  </si>
  <si>
    <t>Cross-Layer Resource Optimization for Ultra-Low-Power TinyML Inference on ARM Cortex-M Microcontrollers</t>
  </si>
  <si>
    <t>10.3390/electronics15132918</t>
  </si>
  <si>
    <t>https://doi.org/10.3390/electronics15132918</t>
  </si>
  <si>
    <t>2.1 Evolution and Scope of Resource-Constrained Edge AI; 2.4 Model Optimization and Hardware-Software Co-Design; Table 2 — Thematic contribution of outside-quota publications</t>
  </si>
  <si>
    <t>Cross-layer ultra-low-power optimization</t>
  </si>
  <si>
    <t>Alanazi, A. G., Alanazi, H. A., &amp; Albalawi, N. S. (2026). Cross-layer resource optimization for ultra-low-power TinyML inference on ARM Cortex-M microcontrollers. Electronics. https://doi.org/10.3390/electronics15132918</t>
  </si>
  <si>
    <t>Physical STM32H743ZI energy/latency benchmark; public artifacts absent and supporting data are request-only.</t>
  </si>
  <si>
    <t>A47</t>
  </si>
  <si>
    <t>Shahad Alharthi; Muhammad Rashid; Malak Aljabri</t>
  </si>
  <si>
    <t>TinyML in Industrial IoT: A Systematic Review of Applications, System Components, and Methodologies</t>
  </si>
  <si>
    <t>10.3390/s26082550</t>
  </si>
  <si>
    <t>https://doi.org/10.3390/s26082550</t>
  </si>
  <si>
    <t>Industrial IoT systematic review</t>
  </si>
  <si>
    <t>Alharthi, S., Rashid, M., &amp; Aljabri, M. (2026). TinyML in Industrial IoT: A systematic review of applications, system components, and methodologies. Sensors. https://doi.org/10.3390/s26082550</t>
  </si>
  <si>
    <t>35-study IIoT-specific SLR; transparent search protocol but no public extraction dataset or registered protocol.</t>
  </si>
  <si>
    <t>A49</t>
  </si>
  <si>
    <t>Complementary batch 3 — directed full-text extraction completed</t>
  </si>
  <si>
    <t>Miguel de Prado; Manuele Rusci; Alessandro Capotondi; Romain Donze; Luca Benini; Nuria Pazos</t>
  </si>
  <si>
    <t>Robustifying the Deployment of tinyML Models for Autonomous Mini-Vehicles</t>
  </si>
  <si>
    <t>10.3390/s21041339</t>
  </si>
  <si>
    <t>https://doi.org/10.3390/s21041339</t>
  </si>
  <si>
    <t>2.6 Experimental Validation and Benchmarking; 3.2 Limited Real-World Validation and Generalization Evidence; Table 2 — Thematic contribution of outside-quota publications</t>
  </si>
  <si>
    <t>Robust physical deployment</t>
  </si>
  <si>
    <t>de Prado, M., Rusci, M., Capotondi, A., Donze, R., Benini, L., &amp; Pazos, N. (2021). Robustifying the deployment of tinyML models for autonomous mini-vehicles. Sensors. https://doi.org/10.3390/s21041339</t>
  </si>
  <si>
    <t>Physical mini-vehicle/GAP8 validation and public model/dataset repository; adaptation remains offline and application specific.</t>
  </si>
  <si>
    <t>A50</t>
  </si>
  <si>
    <t>Young Hyun Yoon; Dong Hyun Hwang; Jun Hyeok Yang; Seung Eun Lee</t>
  </si>
  <si>
    <t>Intellino: Processor for Embedded Artificial Intelligence</t>
  </si>
  <si>
    <t>10.3390/electronics9071169</t>
  </si>
  <si>
    <t>https://doi.org/10.3390/electronics9071169</t>
  </si>
  <si>
    <t>2.1 Evolution and Scope of Resource-Constrained Edge AI; 2.2 Hardware Platforms and Computing Architectures; Table 2 — Thematic contribution of outside-quota publications</t>
  </si>
  <si>
    <t>Embedded AI processor architecture</t>
  </si>
  <si>
    <t>Yoon, Y. H., Hwang, D. H., Yang, J. H., &amp; Lee, S. E. (2020). Intellino: Processor for embedded artificial intelligence. Electronics. https://doi.org/10.3390/electronics9071169</t>
  </si>
  <si>
    <t>Simulator and FPGA prototype reviewed. No direct power measurement or public implementation artifacts identified.</t>
  </si>
  <si>
    <t>A51</t>
  </si>
  <si>
    <t>Songjie Xie; Hengtao He; Shenghui Song; Jun Zhang; Khaled B. Letaief</t>
  </si>
  <si>
    <t>Toward Real-Time Edge AI: Model-Agnostic Task-Oriented Communication With Visual Feature Alignment</t>
  </si>
  <si>
    <t>IEEE Journal on Selected Areas in Communications</t>
  </si>
  <si>
    <t>10.1109/jsac.2025.3623175</t>
  </si>
  <si>
    <t>https://doi.org/10.1109/jsac.2025.3623175</t>
  </si>
  <si>
    <t>2.1 Evolution and Scope of Resource-Constrained Edge AI; 2.8 Cross-Layer Trade-offs and Recurrent Design Patterns; Table 2 — Thematic contribution of outside-quota publications</t>
  </si>
  <si>
    <t>Task-oriented communication and distributed execution</t>
  </si>
  <si>
    <t>Xie, S., He, H., Song, S., Zhang, J., &amp; Letaief, K. B. (2025). Toward real-time Edge AI: Model-agnostic task-oriented communication with visual feature alignment. IEEE Journal on Selected Areas in Communications. https://doi.org/10.1109/jsac.2025.3623175</t>
  </si>
  <si>
    <t>Public source code and extensive simulations; no physical edge-device or communication testbed.</t>
  </si>
  <si>
    <t>A52</t>
  </si>
  <si>
    <t>Erik Johannes Husom; Arda Goknil; Merve Astekin; Lwin Khin Shar; Andre KÃ¥sen; Sagar Sen; Benedikt Andreas Mithassel; Ahmet Soylu</t>
  </si>
  <si>
    <t>Sustainable LLM Inference for Edge AI: Evaluating Quantized LLMs for Energy Efficiency, Output Accuracy, and Inference Latency</t>
  </si>
  <si>
    <t>ACM Transactions on Internet of Things</t>
  </si>
  <si>
    <t>10.1145/3767742</t>
  </si>
  <si>
    <t>https://doi.org/10.1145/3767742</t>
  </si>
  <si>
    <t>2.4 Model Optimization and Hardware-Software Co-Design; Table 2 — Thematic contribution of outside-quota publications</t>
  </si>
  <si>
    <t>Quantized LLM energy–accuracy–latency trade-offs</t>
  </si>
  <si>
    <t>Husom, E. J., Goknil, A., Astekin, M., Shar, L. K., Kåsen, A., Sen, S., Mithassel, B. A., &amp; Soylu, A. (2025). Sustainable LLM inference for Edge AI: Evaluating quantized LLMs for energy efficiency, output accuracy, and inference latency. ACM Transactions on Internet of Things. https://doi.org/10.1145/3767742</t>
  </si>
  <si>
    <t>Direct Joulescope whole-device measurements on Raspberry Pi 4; repository cited but address/version and raw traces not independently audited.</t>
  </si>
  <si>
    <t>A53</t>
  </si>
  <si>
    <t>2022</t>
  </si>
  <si>
    <t>Josen Daniel De Leon; Rowel Atienza</t>
  </si>
  <si>
    <t>Depth Pruning with Auxiliary Networks for Tinyml</t>
  </si>
  <si>
    <t>ICASSP 2022 - 2022 IEEE International Conference on Acoustics, Speech and Signal Processing (ICASSP)</t>
  </si>
  <si>
    <t>10.1109/icassp43922.2022.9746843</t>
  </si>
  <si>
    <t>https://doi.org/10.1109/icassp43922.2022.9746843</t>
  </si>
  <si>
    <t>Depth pruning</t>
  </si>
  <si>
    <t>De Leon, J. D., &amp; Atienza, R. (2022). Depth pruning with auxiliary networks for TinyML. ICASSP 2022 - 2022 IEEE International Conference on Acoustics, Speech and Signal Processing (ICASSP). https://doi.org/10.1109/icassp43922.2022.9746843</t>
  </si>
  <si>
    <t>Physical Cortex-M0 size/latency results and public pruning code; no direct energy measurement.</t>
  </si>
  <si>
    <t>A54</t>
  </si>
  <si>
    <t>Giorgos Armeniakos; Georgios Mentzos; Dimitrios Soudris</t>
  </si>
  <si>
    <t>Accelerating TinyML Inference on Microcontrollers Through Approximate Kernels</t>
  </si>
  <si>
    <t>2024 IEEE International Parallel and Distributed Processing Symposium Workshops (IPDPSW)</t>
  </si>
  <si>
    <t>10.1109/ipdpsw63119.2024.00044</t>
  </si>
  <si>
    <t>https://doi.org/10.1109/ipdpsw63119.2024.00044</t>
  </si>
  <si>
    <t>Approximate inference kernels</t>
  </si>
  <si>
    <t>Armeniakos, G., Mentzos, G., &amp; Soudris, D. (2024). Accelerating TinyML inference on microcontrollers through approximate kernels. 2024 IEEE International Parallel and Distributed Processing Symposium Workshops (IPDPSW). https://doi.org/10.1109/ipdpsw63119.2024.00044</t>
  </si>
  <si>
    <t>Physical STM32U575 benchmark and public ATAMAN toolkit; energy-measurement method is not reported.</t>
  </si>
  <si>
    <t>A55</t>
  </si>
  <si>
    <t>Lixiang Han; Zhen Xiao; Zhenjiang Li</t>
  </si>
  <si>
    <t>DTMM: Deploying TinyML Models on Extremely Weak IoT Devices with Pruning</t>
  </si>
  <si>
    <t>IEEE INFOCOM 2024 - IEEE Conference on Computer Communications</t>
  </si>
  <si>
    <t>10.1109/infocom52122.2024.10621387</t>
  </si>
  <si>
    <t>https://doi.org/10.1109/infocom52122.2024.10621387</t>
  </si>
  <si>
    <t>Pruning for extremely weak IoT devices</t>
  </si>
  <si>
    <t>Han, L., Xiao, Z., &amp; Li, Z. (2024). DTMM: Deploying TinyML models on extremely weak IoT devices with pruning. IEEE INFOCOM 2024 - IEEE Conference on Computer Communications. https://doi.org/10.1109/infocom52122.2024.10621387</t>
  </si>
  <si>
    <t>Cortex-M55/Corstone-300 target benchmark extracted. Physical-versus-platform-model execution remains ambiguous.</t>
  </si>
  <si>
    <t>A56</t>
  </si>
  <si>
    <t>Jianzi Jin; Cheng Zhang; Zetao Yu; Yi Zhao; Youngseo Kim; Jongwook Yi; Yoonpyo Hong; Hyuk Han; SoungHyun Moon; SangHyeon Kim; ChoongHyun Lee</t>
  </si>
  <si>
    <t>A full-stack, energy-efficient 8-Mb NOR-flash compute-in-memory SoC with on-chip acceleration and end-to-end toolchain for edge AI</t>
  </si>
  <si>
    <t>Microelectronics Journal</t>
  </si>
  <si>
    <t>10.1016/j.mejo.2026.107181</t>
  </si>
  <si>
    <t>https://doi.org/10.1016/j.mejo.2026.107181</t>
  </si>
  <si>
    <t>2.2 Hardware Platforms and Computing Architectures; Table 2 — Thematic contribution of outside-quota publications</t>
  </si>
  <si>
    <t>Compute-in-memory SoC and end-to-end toolchain</t>
  </si>
  <si>
    <t>Jin, J., Zhang, C., Yu, Z., Zhao, Y., Kim, Y., Yi, J., Hong, Y., Han, H., Moon, S., Kim, S., &amp; Lee, C. (2026). A full-stack, energy-efficient 8-Mb NOR-flash compute-in-memory SoC with on-chip acceleration and end-to-end toolchain for Edge AI. Microelectronics Journal. https://doi.org/10.1016/j.mejo.2026.107181</t>
  </si>
  <si>
    <t>A61</t>
  </si>
  <si>
    <t>2019</t>
  </si>
  <si>
    <t>Alexandre Levisse; Marco Rios; W.-A. Simon; P.-E. Gaillardon; D. Atienza</t>
  </si>
  <si>
    <t>Functionality Enhanced Memories for Edge-AI Embedded Systems</t>
  </si>
  <si>
    <t>2019 19th Non-Volatile Memory Technology Symposium (NVMTS)</t>
  </si>
  <si>
    <t>10.1109/nvmts47818.2019.8986214</t>
  </si>
  <si>
    <t>https://doi.org/10.1109/nvmts47818.2019.8986214</t>
  </si>
  <si>
    <t>Memory-centric Edge AI architecture</t>
  </si>
  <si>
    <t>Levisse, A., Rios, M., Simon, W.-A., Gaillardon, P.-E., &amp; Atienza, D. (2019). Functionality enhanced memories for Edge-AI embedded systems. 2019 19th Non-Volatile Memory Technology Symposium (NVMTS). https://doi.org/10.1109/nvmts47818.2019.8986214</t>
  </si>
  <si>
    <t>Original evidence is a 2×2 circuit simulation; cited performance gains from related work are not treated as this paper's own system measurements.</t>
  </si>
  <si>
    <t>A79</t>
  </si>
  <si>
    <t>Dimitrios Samakovlis; Stefano Albini; Rubén Rodríguez Álvarez; Denisa-Andreea Constantinescu; Pasquale Davide Schiavone; Miguel Peón-Quirós; David Atienza</t>
  </si>
  <si>
    <t>BiomedBench: A Benchmark Suite of TinyML Biomedical Applications for Low-Power Wearables</t>
  </si>
  <si>
    <t>IEEE Design &amp; Test</t>
  </si>
  <si>
    <t>10.1109/mdat.2024.3483034</t>
  </si>
  <si>
    <t>https://doi.org/10.1109/mdat.2024.3483034</t>
  </si>
  <si>
    <t>2.6 Experimental Validation and Benchmarking; 3.1 Fragmented Benchmarking and Incomplete System-Level Reporting; Table 2 — Thematic contribution of outside-quota publications</t>
  </si>
  <si>
    <t>Benchmark suite and low-power wearable evaluation</t>
  </si>
  <si>
    <t>Samakovlis, D., Albini, S., Rodríguez Álvarez, R., Constantinescu, D.-A., Schiavone, P. D., Peón-Quirós, M., &amp; Atienza, D. (2025). BiomedBench: A benchmark suite of TinyML biomedical applications for low-power wearables. IEEE Design &amp; Test. https://doi.org/10.1109/mdat.2024.3483034</t>
  </si>
  <si>
    <t>A80</t>
  </si>
  <si>
    <t>Ghina Al-Atat; Andrea Fresa; Adarsh Prasad Behera; Vishnu Narayanan Moothedath; James Gross; Jaya Prakash Champati</t>
  </si>
  <si>
    <t>The Case for Hierarchical Deep Learning Inference at the Network Edge</t>
  </si>
  <si>
    <t>Proceedings of the 1st International Workshop on Networked AI Systems</t>
  </si>
  <si>
    <t>10.1145/3597062.3597278</t>
  </si>
  <si>
    <t>https://doi.org/10.1145/3597062.3597278</t>
  </si>
  <si>
    <t>2.8 Cross-Layer Trade-offs and Recurrent Design Patterns; Table 2 — Thematic contribution of outside-quota publications</t>
  </si>
  <si>
    <t>Hierarchical inference at the network edge</t>
  </si>
  <si>
    <t>Full-text workshop PDF supplied by user</t>
  </si>
  <si>
    <t>Al-Atat, G., Fresa, A., Behera, A. P., Moothedath, V. N., Gross, J., &amp; Champati, J. P. (2023). The case for hierarchical deep learning inference at the network edge. Proceedings of the 1st International Workshop on Networked AI Systems. https://doi.org/10.1145/3597062.3597278</t>
  </si>
  <si>
    <t>Physical Raspberry-Pi/server network comparison; offloading cost β is abstract and energy is not directly measured.</t>
  </si>
  <si>
    <t>A81</t>
  </si>
  <si>
    <t>Emanuel-Crăciun Trînc; Valentin Niţă; Cristina Stolojescu-Crisan; Cosmin Ancuţi; Răzvan Marius Mihai; Cristian Pațachia Sultănoiu</t>
  </si>
  <si>
    <t>Cost-Effective TinyML-Ready Design and Field Deployment of a Solar-Powered Environmental Monitoring Data Collector Using LTE-M Communication</t>
  </si>
  <si>
    <t>10.3390/app16073237</t>
  </si>
  <si>
    <t>https://doi.org/10.3390/app16073237</t>
  </si>
  <si>
    <t>Field-deployed autonomous sensing platform</t>
  </si>
  <si>
    <t>Trînc, E.-C., Niţă, V., Stolojescu-Crisan, C., Ancuţi, C., Mihai, R. M., &amp; Pațachia Sultănoiu, C. (2026). Cost-effective TinyML-ready design and field deployment of a solar-powered environmental monitoring data collector using LTE-M communication. Applied Sciences. https://doi.org/10.3390/app16073237</t>
  </si>
  <si>
    <t>Pilot full-text extraction completed. Use only as field-platform evidence: the current prototype explicitly has no deployed TinyML model.</t>
  </si>
  <si>
    <t>A91</t>
  </si>
  <si>
    <t>Hung-Yi Chen; Jin-Wei Chang; Hong-Ruei Lin; Li-Pin Chang</t>
  </si>
  <si>
    <t>Graceful CNN Model Degradation in Uncorrected Flash Storage for Embedded Edge Devices</t>
  </si>
  <si>
    <t>ACM Transactions on Storage</t>
  </si>
  <si>
    <t>10.1145/3747298</t>
  </si>
  <si>
    <t>https://doi.org/10.1145/3747298</t>
  </si>
  <si>
    <t>2.4 Model Optimization and Hardware-Software Co-Design; 3.3 Energy, Robustness, Privacy, Security, and Adaptation; Table 2 — Thematic contribution of outside-quota publications</t>
  </si>
  <si>
    <t>Storage faults and graceful model degradation</t>
  </si>
  <si>
    <t>Chen, H.-Y., Chang, J.-W., Lin, H.-R., &amp; Chang, L.-P. (2026). Graceful CNN model degradation in uncorrected flash storage for embedded edge devices. ACM Transactions on Storage. https://doi.org/10.1145/3747298</t>
  </si>
  <si>
    <t>Measured flash characterization plus simulated CNN retention/ECC analysis; no fabricated EASE system.</t>
  </si>
  <si>
    <t>A94</t>
  </si>
  <si>
    <t>Complementary batch 4 — directed full-text review completed; narrative review</t>
  </si>
  <si>
    <t>Gloria Giorgetti; Danilo Pietro Pau</t>
  </si>
  <si>
    <t>Transitioning from TinyML to Edge GenAI: A Review</t>
  </si>
  <si>
    <t>Big Data and Cognitive Computing</t>
  </si>
  <si>
    <t>10.3390/bdcc9030061</t>
  </si>
  <si>
    <t>https://doi.org/10.3390/bdcc9030061</t>
  </si>
  <si>
    <t>Transition from TinyML to Edge GenAI</t>
  </si>
  <si>
    <t>Supplied and reviewed — narrative review</t>
  </si>
  <si>
    <t>Giorgetti, G., &amp; Pau, D. P. (2025). Transitioning from TinyML to Edge GenAI: A review. Big Data and Cognitive Computing. https://doi.org/10.3390/bdcc9030061</t>
  </si>
  <si>
    <t>Useful Edge-GenAI landscape review; search and screening are not sufficiently reproducible for systematic-review equivalence.</t>
  </si>
  <si>
    <t>A96</t>
  </si>
  <si>
    <t>Complementary batch 4 — directed full-text extraction completed</t>
  </si>
  <si>
    <t>Asier Garcia-Perez; Raúl Miñón; Ana I. Torre-Bastida; Ekaitz Zulueta-Guerrero</t>
  </si>
  <si>
    <t>Analysing Edge Computing Devices for the Deployment of Embedded AI</t>
  </si>
  <si>
    <t>10.3390/s23239495</t>
  </si>
  <si>
    <t>https://doi.org/10.3390/s23239495</t>
  </si>
  <si>
    <t>Cross-device deployment analysis</t>
  </si>
  <si>
    <t>Garcia-Perez, A., Miñón, R., Torre-Bastida, A. I., &amp; Zulueta-Guerrero, E. (2023). Analysing edge computing devices for the deployment of embedded AI. Sensors. https://doi.org/10.3390/s23239495</t>
  </si>
  <si>
    <t>Physical SoC benchmark with external power meter; Jetson GPU excluded, HummingBoard failed, and no public artifacts are supplied.</t>
  </si>
  <si>
    <t>A98</t>
  </si>
  <si>
    <t>Pei-Kuei Tsung; Tung-Chien Chen; Chien-Hung Lin; Chih-Yu Chang; Jih-Ming Hsu</t>
  </si>
  <si>
    <t>Heterogeneous Computing for Edge AI</t>
  </si>
  <si>
    <t>2019 International Symposium on VLSI Design, Automation and Test (VLSI-DAT)</t>
  </si>
  <si>
    <t>10.1109/vlsi-dat.2019.8741613</t>
  </si>
  <si>
    <t>https://doi.org/10.1109/vlsi-dat.2019.8741613</t>
  </si>
  <si>
    <t>Heterogeneous computing baseline</t>
  </si>
  <si>
    <t>Tsung, P.-K., Chen, T.-C., Lin, C.-H., Chang, C.-Y., &amp; Hsu, J.-M. (2019). Heterogeneous computing for Edge AI. 2019 International Symposium on VLSI Design, Automation and Test (VLSI-DAT). https://doi.org/10.1109/vlsi-dat.2019.8741613</t>
  </si>
  <si>
    <t>Industrial SoC benchmark retained with Medium confidence because workload and measurement details are sparse.</t>
  </si>
  <si>
    <t>A99</t>
  </si>
  <si>
    <t>Complementary batch 3 — directed full-text extraction completed; evidence restricted</t>
  </si>
  <si>
    <t>Myeongjin Kang; Daejin Park</t>
  </si>
  <si>
    <t>Flexible Edge-AI Software Execution Architecture Based on Cloud-Connected Incremental Learning</t>
  </si>
  <si>
    <t>IEEE Access</t>
  </si>
  <si>
    <t>10.1109/access.2025.3586940</t>
  </si>
  <si>
    <t>https://doi.org/10.1109/access.2025.3586940</t>
  </si>
  <si>
    <t>2.1 Evolution and Scope of Resource-Constrained Edge AI; 2.8 Cross-Layer Trade-offs and Recurrent Design Patterns; 3.3 Energy, Robustness, Privacy, Security, and Adaptation; Table 2 — Thematic contribution of outside-quota publications</t>
  </si>
  <si>
    <t>Incremental learning and cloud-connected execution</t>
  </si>
  <si>
    <t>Supplied and reviewed — medium/low confidence</t>
  </si>
  <si>
    <t>Kang, M., &amp; Park, D. (2025). Flexible Edge-AI software execution architecture based on cloud-connected incremental learning. IEEE Access. https://doi.org/10.1109/access.2025.3586940</t>
  </si>
  <si>
    <t>FPGA/cloud prototype with incomplete reproducibility and inconsistent Cortex-M0/M4 descriptions; no energy measurement.</t>
  </si>
  <si>
    <t>A103</t>
  </si>
  <si>
    <t>Chang Kong; Feng Li; Xiaohu Yan; Jinfeng Yang; Peng Mo; Qiuming Luo; Rui Mao</t>
  </si>
  <si>
    <t>Object detection on low-compute edge SoCs: a reproducible benchmark and deployment guidelines</t>
  </si>
  <si>
    <t>Scientific Reports</t>
  </si>
  <si>
    <t>10.1038/s41598-026-36862-y</t>
  </si>
  <si>
    <t>https://doi.org/10.1038/s41598-026-36862-y</t>
  </si>
  <si>
    <t>Reproducible low-compute SoC benchmark</t>
  </si>
  <si>
    <t>Kong, C., Li, F., Yan, X., Yang, J., Mo, P., Luo, Q., &amp; Mao, R. (2026). Object detection on low-compute edge SoCs: A reproducible benchmark and deployment guidelines. Scientific Reports. https://doi.org/10.1038/s41598-026-36862-y</t>
  </si>
  <si>
    <t>Strong physical Rockchip benchmark with explicit RKNN workflow and repeated measurements; data are request-only and code/models are not public.</t>
  </si>
  <si>
    <t>A162</t>
  </si>
  <si>
    <t>Xueyu Hou; Yongjie Guan; Tao Han; Ning Zhang</t>
  </si>
  <si>
    <t>DistrEdge: Speeding up Convolutional Neural Network Inference on Distributed Edge Devices</t>
  </si>
  <si>
    <t>2022 IEEE International Parallel and Distributed Processing Symposium (IPDPS)</t>
  </si>
  <si>
    <t>10.1109/ipdps53621.2022.00110</t>
  </si>
  <si>
    <t>https://doi.org/10.1109/ipdps53621.2022.00110</t>
  </si>
  <si>
    <t>Distributed CNN inference</t>
  </si>
  <si>
    <t>Hou, X., Guan, Y., Han, T., &amp; Zhang, N. (2022). DistrEdge: Speeding up convolutional neural network inference on distributed edge devices. 2022 IEEE International Parallel and Distributed Processing Symposium (IPDPS). https://doi.org/10.1109/ipdps53621.2022.00110</t>
  </si>
  <si>
    <t>Physical heterogeneous-device distributed-inference benchmark; memory and energy are outside the study scope.</t>
  </si>
  <si>
    <t>A163</t>
  </si>
  <si>
    <t>Yuanliang Fan; Han Wu; Zewen Li; Jianli Lin; Lingfei Li; Xinghua Huang; Weiming Chen; Beibei Chen</t>
  </si>
  <si>
    <t>A flexible orchestration of lightweight AI for edge computing in low-voltage distribution network</t>
  </si>
  <si>
    <t>Frontiers in Energy Research</t>
  </si>
  <si>
    <t>10.3389/fenrg.2024.1424663</t>
  </si>
  <si>
    <t>https://doi.org/10.3389/fenrg.2024.1424663</t>
  </si>
  <si>
    <t>Lightweight AI orchestration</t>
  </si>
  <si>
    <t>Fan, Y., Wu, H., Li, Z., Lin, J., Li, L., Huang, X., Chen, W., &amp; Chen, B. (2024). A flexible orchestration of lightweight AI for edge computing in low-voltage distribution network. Frontiers in Energy Research. https://doi.org/10.3389/fenrg.2024.1424663</t>
  </si>
  <si>
    <t>LVDN orchestration simulation only; concrete models and physical edge hardware are not validated.</t>
  </si>
  <si>
    <t>Identity and control</t>
  </si>
  <si>
    <t>Existing synthesis</t>
  </si>
  <si>
    <t>Scope and data</t>
  </si>
  <si>
    <t>Model</t>
  </si>
  <si>
    <t>Optimization</t>
  </si>
  <si>
    <t>Hardware</t>
  </si>
  <si>
    <t>Runtime / toolchain</t>
  </si>
  <si>
    <t>Validation</t>
  </si>
  <si>
    <t>Metrics</t>
  </si>
  <si>
    <t>Reproducibility / traceability</t>
  </si>
  <si>
    <t>Source abstract</t>
  </si>
  <si>
    <t>Source basis</t>
  </si>
  <si>
    <t>DOI / URL</t>
  </si>
  <si>
    <t>Approach</t>
  </si>
  <si>
    <t>Contribution</t>
  </si>
  <si>
    <t>Data / evidence</t>
  </si>
  <si>
    <t>Method</t>
  </si>
  <si>
    <t>Validation (source synthesis)</t>
  </si>
  <si>
    <t>Main finding</t>
  </si>
  <si>
    <t>Limitation (source synthesis)</t>
  </si>
  <si>
    <t>Application domain</t>
  </si>
  <si>
    <t>Task</t>
  </si>
  <si>
    <t>Data modality</t>
  </si>
  <si>
    <t>Dataset / source</t>
  </si>
  <si>
    <t>Sample / subjects / sessions</t>
  </si>
  <si>
    <t>Validation design</t>
  </si>
  <si>
    <t>Preprocessing / features</t>
  </si>
  <si>
    <t>Model family</t>
  </si>
  <si>
    <t>Architecture</t>
  </si>
  <si>
    <t>Parameters / MACs</t>
  </si>
  <si>
    <t>Numerical precision</t>
  </si>
  <si>
    <t>Learning mode</t>
  </si>
  <si>
    <t>Optimization techniques</t>
  </si>
  <si>
    <t>Optimization stage</t>
  </si>
  <si>
    <t>Hardware class</t>
  </si>
  <si>
    <t>Device / platform</t>
  </si>
  <si>
    <t>CPU / accelerator</t>
  </si>
  <si>
    <t>Clock</t>
  </si>
  <si>
    <t>RAM available</t>
  </si>
  <si>
    <t>Flash / storage available</t>
  </si>
  <si>
    <t>Sensors / OS</t>
  </si>
  <si>
    <t>Hardware constraints</t>
  </si>
  <si>
    <t>Runtime / framework</t>
  </si>
  <si>
    <t>Compiler / toolchain</t>
  </si>
  <si>
    <t>Code generation / optimized kernels</t>
  </si>
  <si>
    <t>Memory allocation</t>
  </si>
  <si>
    <t>Validation level</t>
  </si>
  <si>
    <t>Validation environment</t>
  </si>
  <si>
    <t>Physical hardware tested</t>
  </si>
  <si>
    <t>Repetitions / uncertainty</t>
  </si>
  <si>
    <t>Real-time claim / deadline</t>
  </si>
  <si>
    <t>Predictive metrics</t>
  </si>
  <si>
    <t>Latency</t>
  </si>
  <si>
    <t>Throughput</t>
  </si>
  <si>
    <t>Peak RAM</t>
  </si>
  <si>
    <t>Model / Flash size</t>
  </si>
  <si>
    <t>Energy / power</t>
  </si>
  <si>
    <t>Other system metrics</t>
  </si>
  <si>
    <t>Reproducibility summary</t>
  </si>
  <si>
    <t>Reviewer limitations</t>
  </si>
  <si>
    <t>Evidence locator</t>
  </si>
  <si>
    <t>Confidence</t>
  </si>
  <si>
    <t>Extraction notes</t>
  </si>
  <si>
    <t>Full-text review status</t>
  </si>
  <si>
    <t>Reference text</t>
  </si>
  <si>
    <t>Abstract</t>
  </si>
  <si>
    <t>Pilot validated — exhaustive full-text extraction completed</t>
  </si>
  <si>
    <t>Full-text PDF supplied by user; pp. 1–4</t>
  </si>
  <si>
    <t>TinyML-augmented inertial navigation with on-device gyroscope-bias estimation</t>
  </si>
  <si>
    <t>Real-time adaptive gyroscope-drift compensation integrated before Madgwick quaternion sensor fusion</t>
  </si>
  <si>
    <t>MPU9250 gyroscope data acquired at 100 Hz; static 20-minute drift test, controlled slow rotation, and vibration-disturbance test on STM32F407</t>
  </si>
  <si>
    <t>Thirty temporal features (three gyroscope axes over a 10-sample sliding window) feed a 30-16-3 ReLU feedforward network. The three estimated bias values are removed before Madgwick sensor fusion.</t>
  </si>
  <si>
    <t>Physical-device controlled laboratory validation</t>
  </si>
  <si>
    <t>The implementation operated stably at 100 Hz with inference below 5 ms, approximately 38 KB Flash and 15 KB RAM; drift and yaw stability improved qualitatively, but numerical drift/RMSE results were not reported.</t>
  </si>
  <si>
    <t>Training-set size, data split, repetitions, uncertainty, compiler/build versions, quantitative drift reduction, and energy consumption are not reported.</t>
  </si>
  <si>
    <t>Inertial navigation / aerospace embedded systems</t>
  </si>
  <si>
    <t>Three-axis gyroscope-bias regression and drift compensation</t>
  </si>
  <si>
    <t>Temporal MEMS gyroscope signals</t>
  </si>
  <si>
    <t>Locally acquired MPU9250 gyroscope data under static, slow-rotation, and vibration conditions</t>
  </si>
  <si>
    <t>Static test duration: 20 min; sample count and number of repeated sessions NR</t>
  </si>
  <si>
    <t>Three controlled device tests; outputs logged through serial communication; no independent train/test protocol reported</t>
  </si>
  <si>
    <t>Gyroscope X/Y/Z; 10-sample sliding window; 30 inputs; signal variance and normalization described</t>
  </si>
  <si>
    <t>Feedforward neural network</t>
  </si>
  <si>
    <t>30-input layer; one 16-neuron ReLU hidden layer; three-output bias-regression layer</t>
  </si>
  <si>
    <t>NR; architecture fully specified but parameter/MAC count not reported</t>
  </si>
  <si>
    <t>INT8 inference</t>
  </si>
  <si>
    <t>Offline training; on-device inference</t>
  </si>
  <si>
    <t>8-bit quantization; loop optimization; reduced memory buffer</t>
  </si>
  <si>
    <t>Post-training conversion and firmware/runtime integration</t>
  </si>
  <si>
    <t>MCU</t>
  </si>
  <si>
    <t>STM32F407 microcontroller with MPU9250 IMU</t>
  </si>
  <si>
    <t>STM32F407 ARM Cortex-M4-class MCU; no dedicated accelerator reported</t>
  </si>
  <si>
    <t>NR</t>
  </si>
  <si>
    <t>Platform capacity NR; implementation uses approximately 15 KB RAM</t>
  </si>
  <si>
    <t>Platform capacity NR; implementation uses approximately 38 KB Flash</t>
  </si>
  <si>
    <t>MPU9250 MEMS IMU; bare-metal/OS not specified</t>
  </si>
  <si>
    <t>Strict embedded-memory budget and 100 Hz sensing/control loop</t>
  </si>
  <si>
    <t>TensorFlow Lite Micro; Madgwick sensor-fusion algorithm</t>
  </si>
  <si>
    <t>TFLM deployment; explicit optimized-kernel library NR</t>
  </si>
  <si>
    <t>Static tensor allocation; reduced buffer footprint</t>
  </si>
  <si>
    <t>4 — Controlled laboratory test</t>
  </si>
  <si>
    <t>Physical STM32F407/MPU9250 setup under static, slow-rotation, and vibration conditions</t>
  </si>
  <si>
    <t>Yes — STM32F407 and MPU9250</t>
  </si>
  <si>
    <t>100 Hz operation implies a 10 ms cycle; reported inference latency &lt;5 ms</t>
  </si>
  <si>
    <t>Cumulative drift error, RMSE, and bias stability are named; numerical values NR</t>
  </si>
  <si>
    <t>&lt;5 ms per inference (reported)</t>
  </si>
  <si>
    <t>Stable 100 Hz acquisition/inference loop</t>
  </si>
  <si>
    <t>Approximately 15 KB</t>
  </si>
  <si>
    <t>Approximately 38 KB Flash footprint</t>
  </si>
  <si>
    <t>No buffer overflow or dropped frames reported</t>
  </si>
  <si>
    <t>Partial: hardware, feature pipeline, architecture, runtime, and tests are described; data, code, model artifact, firmware, build versions, and raw results are not publicly identified.</t>
  </si>
  <si>
    <t>Full text provides limited quantitative results; bibliographic author list differs from the integrated reference and requires reconciliation.</t>
  </si>
  <si>
    <t>Title/abstract p.1; system architecture and model pp.2–3; implementation and tests pp.3–4</t>
  </si>
  <si>
    <t>High</t>
  </si>
  <si>
    <t>Full text corrects the abstract-level 'LSTM-like' characterization: the reported model is a 30-16-3 feedforward network. Author-list discrepancy logged in quality control.</t>
  </si>
  <si>
    <t>Complete — pilot validated</t>
  </si>
  <si>
    <t>Low-cost MEMS-based inertial navigation systems (INS) suffer from nonlinear and time-varying gyroscope bias drift, leading to cumulative orientation errors in long-duration applications. Traditional sensor fusion algorithms assume constant bias and do not compensate dynamic drift behavior under operating conditions. This paper presents a TinyML-augmented inertial navigation system implemented on an STM32 microcontroller for real-time adaptive drift compensation. A lightweight neural network model is trained using temporal gyroscope features and deployed using TensorFlow Lite Micro with 8-bit quantization. The estimated bias was removed prior to quaternion-based Madgwick sensor fusion. Experimental validation shows reduced cumulative drift, improved yaw stability, and real-time execution feasibility within strict embedded memory constraints. The proposed approach confirms the integration of embedded machine learning in aerospace navigation systems.</t>
  </si>
  <si>
    <t>Batch 2 — exhaustive full-text extraction completed</t>
  </si>
  <si>
    <t>Wearable TinyML cough detection using shirt-collar accelerometry</t>
  </si>
  <si>
    <t>End-to-end motion-based cough classifier deployed on the Nordic Thingy:53, with FP32/INT8 and TFLite Micro/EON implementation comparisons</t>
  </si>
  <si>
    <t>Five subjects, 180 ten-second recordings at 62.5 Hz, and 7,560 two-second windows; four deployment variants evaluated for latency and memory footprint</t>
  </si>
  <si>
    <t>Fourth-order Butterworth band-pass filtering (0.5–15 Hz), 2 s windows with 200 ms stride, 18 time-domain features, and an 18-12-6-2 feedforward neural network trained for 300 epochs</t>
  </si>
  <si>
    <t>Physical-device deployment; predictive evaluation on held-out recordings; latency and memory are Edge Impulse deployment estimates</t>
  </si>
  <si>
    <t>Accuracy 94.38%, sensitivity 93.92%, specificity 94.84%, and F1 94.35%. INT8 inference was estimated at 1 ms; the EON INT8 deployment used 1.4 KB RAM and 14.8 KB Flash.</t>
  </si>
  <si>
    <t>Only five subjects were included; the split was recording-level rather than subject-independent; deployment resource values were tool-estimated, and energy was not measured.</t>
  </si>
  <si>
    <t>Wearable respiratory monitoring</t>
  </si>
  <si>
    <t>Binary cough versus non-cough classification</t>
  </si>
  <si>
    <t>Tri-axial accelerometer time series</t>
  </si>
  <si>
    <t>Locally collected Nordic Thingy:53 accelerometry from cough and non-cough movements</t>
  </si>
  <si>
    <t>5 subjects (3 male, 2 female; age 27.6 ± 3.1 years); 180 recordings × 10 s; 7,560 windows; 6,048 training and 1,512 test windows</t>
  </si>
  <si>
    <t>80% of complete recordings from each subject for training and 20% for testing; 20% of the training set used for validation. Test set: 756 cough and 756 non-cough windows.</t>
  </si>
  <si>
    <t>Fourth-order Butterworth band-pass 0.5–15 Hz; 2 s windows; 200 ms stride; 18 time-domain features from three acceleration axes</t>
  </si>
  <si>
    <t>Feedforward neural network / MLP</t>
  </si>
  <si>
    <t>18 inputs; hidden layers of 12 and 6 neurons; 2-class output</t>
  </si>
  <si>
    <t>NR; architecture is fully specified</t>
  </si>
  <si>
    <t>FP32 and INT8 deployment variants</t>
  </si>
  <si>
    <t>Offline supervised training; on-device inference</t>
  </si>
  <si>
    <t>Post-training INT8 quantization; EON compiled implementation</t>
  </si>
  <si>
    <t>Post-training conversion and deployment</t>
  </si>
  <si>
    <t>Wearable MCU/SoC</t>
  </si>
  <si>
    <t>Nordic Thingy:53 with nRF5340 SoC</t>
  </si>
  <si>
    <t>Arm Cortex-M33 application core</t>
  </si>
  <si>
    <t>128 MHz</t>
  </si>
  <si>
    <t>512 KB</t>
  </si>
  <si>
    <t>1 MB Flash</t>
  </si>
  <si>
    <t>On-board tri-axial accelerometer; embedded firmware environment</t>
  </si>
  <si>
    <t>Wearable resource budget and low-latency on-device inference</t>
  </si>
  <si>
    <t>Edge Impulse; TensorFlow Lite Micro interpreter or EON compiler</t>
  </si>
  <si>
    <t>Edge Impulse deployment pipeline</t>
  </si>
  <si>
    <t>EON-generated implementation compared with TFLite Micro</t>
  </si>
  <si>
    <t>Deployment-reported static RAM footprint; implementation details NR</t>
  </si>
  <si>
    <t>3 — Physical device implementation</t>
  </si>
  <si>
    <t>Controlled data collection on human participants and deployment on the same Nordic Thingy:53 platform</t>
  </si>
  <si>
    <t>Yes — Nordic Thingy:53 / nRF5340</t>
  </si>
  <si>
    <t>No repeated hardware timing or uncertainty interval reported; predictive metrics computed over 1,512 test windows</t>
  </si>
  <si>
    <t>INT8 inference estimated at 1 ms; no explicit application deadline</t>
  </si>
  <si>
    <t>Accuracy 94.38%; sensitivity 93.92%; specificity 94.84%; F1 94.35%; validation accuracy 96.5%</t>
  </si>
  <si>
    <t>TFLite FP32 11 ms; EON FP32 11 ms; TFLite INT8 1 ms; EON INT8 1 ms (Edge Impulse estimates)</t>
  </si>
  <si>
    <t>TFLite FP32 3.0 KB; EON FP32 1.4 KB; TFLite INT8 3.0 KB; EON INT8 1.4 KB</t>
  </si>
  <si>
    <t>TFLite FP32 35.0 KB; EON FP32 12.2 KB; TFLite INT8 34.5 KB; EON INT8 14.8 KB</t>
  </si>
  <si>
    <t>EON reduced RAM by 1.6 KB versus TFLite; EON trades flexibility for smaller compiled footprint</t>
  </si>
  <si>
    <t>Partial: data collection, split, preprocessing, architecture, hardware, and deployment options are described; raw data are available on request, while code, trained models, firmware, versions, and raw benchmark files are not publicly identified.</t>
  </si>
  <si>
    <t>Do not merge Edge Impulse profiler estimates with directly instrumented device measurements. The participant count is small and the split does not test subject-independent generalization.</t>
  </si>
  <si>
    <t>Methods and data pp. 1–3; Tables I–II and deployment discussion pp. 3–4; Data Availability statement p. 4</t>
  </si>
  <si>
    <t>Physical deployment is confirmed. Resource and latency values are explicitly described as estimated hardware requirements by the Edge Impulse deployment report.</t>
  </si>
  <si>
    <t>Complete — batch 2</t>
  </si>
  <si>
    <t>Cough is a common symptom for various chronic respiratory diseases, and in its detection a measure of disease's severity and progression can be made. As a result, researchers have dedicated several studies to investigate the cough detection and classification methods. One of the goals to improve these methods is the design and integration of cough detection algorithms into wearable devices. In this study, we address this goal by proposing a wearable TinyML cough detection system based on motion detected by an accelerometer sensor. An IoT platform, the Nordic Thingy:53, was used for accelerometry data collection from 5 subjects for cough and non-cough movements. The acquired signals were pre-processed, and 18 time-domain features were extracted. The extracted features were used to train a neural network composed of two hidden layers with 12, and 6 neurons respectively. The trained model achieved an accuracy of 94.38%, sensitivity of 93.92%, specificity of 94.84%, and F1 score of 94.35% for cough detection. This model was deployed under four different deployment options, using Edge Impulse platform, onto the nRF5340 SoC in Nordic Thingy:53 for on-device inference using the embedded machine learning model. The deployment options included floating-point, and quantized representation of the classification model, using either TFLite for microcontroller interpreter or EON compiler. Both quantized models provided an inference within 1 ms; and the EON model occupied 1.4 KB of RAM and 14.8 KB of Flash, while the TFLite model occupied 3.0 KB of RAM and 34.5 KB of Flash.</t>
  </si>
  <si>
    <t>Full-text PDF supplied by user; pp. 1–17</t>
  </si>
  <si>
    <t>CMSIS-NN convolution optimization through Direct-to-Image (D2I) indexing</t>
  </si>
  <si>
    <t>D2I replaces repeated Im2col input copying with reusable index tables to reduce convolution runtime on Arm microcontrollers</t>
  </si>
  <si>
    <t>Eight TinyML CNN configurations spanning MNIST, CIFAR-10, and SqueezeNet; experiments on Cortex-M4 and Cortex-M7 boards across TFLM and NNOM</t>
  </si>
  <si>
    <t>D2I tables encode input offsets and are integrated into CMSIS-NN convolution. Performance is compared with Direct, SIMD Direct, and Im2col implementations.</t>
  </si>
  <si>
    <t>Controlled physical-board benchmarking</t>
  </si>
  <si>
    <t>For SqueezeNet_3, D2I improved inference time by 16.3% in TFLM on Arduino Nano 33 BLE and 14.5% in NNOM on STM32F746G-DISCO, with 11.52 KB additional memory.</t>
  </si>
  <si>
    <t>Benefits depend on padding, channel alignment, and the balance between memory-copy and SIMD costs; energy was not measured and reusable artifacts were not released.</t>
  </si>
  <si>
    <t>Embedded CNN inference optimization</t>
  </si>
  <si>
    <t>Reduce convolution and end-to-end inference time</t>
  </si>
  <si>
    <t>Image classification benchmark data</t>
  </si>
  <si>
    <t>MNIST, CIFAR-10, and SqueezeNet benchmark configurations</t>
  </si>
  <si>
    <t>Public benchmark datasets; eight model configurations; sample counts follow source datasets and are not restated</t>
  </si>
  <si>
    <t>Cross-model and cross-framework device benchmark. Representative SqueezeNet_3 timing repeated 10 times; comparisons against Im2col, Direct, and SIMD Direct.</t>
  </si>
  <si>
    <t>Dataset-standard image inputs; quantized CNN operators; exact preprocessing pipeline NR</t>
  </si>
  <si>
    <t>Convolutional neural networks</t>
  </si>
  <si>
    <t>MNIST/CIFAR-10 CNN variants and three SqueezeNet configurations</t>
  </si>
  <si>
    <t>20,410–462,410 parameters across reported configurations; SqueezeNet_3: 365,386 parameters</t>
  </si>
  <si>
    <t>INT8 CMSIS-NN inference</t>
  </si>
  <si>
    <t>Offline training; on-device inference benchmarking</t>
  </si>
  <si>
    <t>D2I index-table method; SIMD kernels; reduced Im2col data copying</t>
  </si>
  <si>
    <t>Runtime kernel implementation</t>
  </si>
  <si>
    <t>Arduino Nano 33 BLE Sense; STM32F746G-DISCO</t>
  </si>
  <si>
    <t>nRF52840 Cortex-M4F; STM32F746 Cortex-M7</t>
  </si>
  <si>
    <t>64 MHz (Cortex-M4F); 216 MHz (Cortex-M7)</t>
  </si>
  <si>
    <t>256 KB SRAM on Arduino Nano 33 BLE Sense; STM32 board capacity not extracted</t>
  </si>
  <si>
    <t>1 MB Flash on Arduino Nano 33 BLE Sense; STM32 board capacity not extracted</t>
  </si>
  <si>
    <t>No sensor required for benchmark; embedded bare-metal/framework runtime</t>
  </si>
  <si>
    <t>Very limited SRAM; convolution runtime dominated by data movement and Im2col buffers</t>
  </si>
  <si>
    <t>TensorFlow Lite Micro v2.4; NNOM v0.4.3; CMSIS-NN v5.0</t>
  </si>
  <si>
    <t>arm-none-eabi-g++ 7.2.1; GNU Tools Arm Embedded 7-2017-q4-major; -Os; Cortex-M4 Thumb/FPU/softfp options; garbage-collection of sections</t>
  </si>
  <si>
    <t>Custom D2I CMSIS-NN convolution kernels</t>
  </si>
  <si>
    <t>Reusable D2I index tables; additional memory 0.032–11.52 KB depending on model</t>
  </si>
  <si>
    <t>Physical MCU benchmarking on Arduino Nano 33 BLE Sense and STM32F746G-DISCO</t>
  </si>
  <si>
    <t>Yes — Cortex-M4F and Cortex-M7 development boards</t>
  </si>
  <si>
    <t>SqueezeNet_3 D2I: 10 runs; mean 316,624.00 µs, SD 30.34 µs, 95% CI ±21.70 µs, CV 0.00958%</t>
  </si>
  <si>
    <t>No application deadline specified</t>
  </si>
  <si>
    <t>MNIST accuracy approximately 95.0–98.1% across filter-count experiments; predictive accuracy is secondary to runtime benchmarking</t>
  </si>
  <si>
    <t>D2I reduced SqueezeNet_3 runtime by 66.0% versus Direct, 38.3% versus SIMD Direct, and 10.3% versus Im2col; end-to-end framework improvement 16.3% (TFLM) and 14.5% (NNOM)</t>
  </si>
  <si>
    <t>D2I additional table memory: 0.032–11.52 KB; SqueezeNet_3 11.52 KB</t>
  </si>
  <si>
    <t>Parameter counts reported; compiled Flash footprint NR</t>
  </si>
  <si>
    <t>D2I improvements across models ranged from 2.8% to 19.5%; effectiveness decreases when index/padding overhead dominates</t>
  </si>
  <si>
    <t>Partial: architectures, framework/library versions, compiler flags, boards, and timing protocol are documented; no public source repository, firmware, trained artifacts, raw traces, or benchmark package was identified.</t>
  </si>
  <si>
    <t>System-level gains are workload-dependent and incur extra table memory. Do not generalize the SqueezeNet reduction to all CNNs or infer energy savings.</t>
  </si>
  <si>
    <t>Method and algorithms pp. 6–10; experimental setup and Tables 1–3 pp. 10–15; Data Availability p. 16</t>
  </si>
  <si>
    <t>Full text confirms physical experiments and exact toolchain settings. D2I is a runtime memory-traffic optimization, not a model-compression method.</t>
  </si>
  <si>
    <t>As AI research advances, various performance optimization techniques have been studied for TinyML models on microcontrollers with very limited resources. In TinyML frameworks such as TFLM (TensorFlow Lite Micro) and NNOM (Neural Network on Microcontrollers), their execution engines mainly depend on CMSIS-NN for inference acceleration, which is an ARM’s back-end library to execute optimized kernel functions for performance optimization. But we often find that CMSIS-NN is not invincible for inference time optimization on TinyML. In this paper, we examine TinyML frameworks and their CMSIS-NN libraries and consider how to improve CMSIS-NN in terms of runtime. Then, we propose the D2I technique to reduce the overhead of memory operations that occur while performing the Im2col procedure within the convolution function, which takes most of the inference time in CMSIS-NN. The proposed technique creates a necessary index table, finds the location of the input with the corresponding index, and performs direct operations between filters and inputs. Thus, it can quite mitigate data copy operations in Im2col with a small additional amount of memory compared to Im2col. In extensive experiments using an Arduino nano 33 BLE board with Cortex-M4 and an STM32F746G-DISCO board with Cortex-M7, D2I was found to achieve about 16.3% and 14.5% inference time improvements against the Im2col in TFLM’s and NNOM’s CMSIS-NNs, respectively, for the SqueezeNet model. And the additional memory usage was shown to be identically 11.52 kB.</t>
  </si>
  <si>
    <t>Full-text PDF supplied by user; pp. 274–283</t>
  </si>
  <si>
    <t>Generic comparison of cloud, edge-CPU, and semiconductor-accelerated local language-model inference</t>
  </si>
  <si>
    <t>Conceptual discussion of NPUs/ASICs and model compression for low-latency local language-model execution</t>
  </si>
  <si>
    <t>A three-platform comparison is presented, but exact hardware, model, prompts/dataset, repetitions, instrumentation, and software stack are not specified</t>
  </si>
  <si>
    <t>The paper states that a compact transformer was optimized through distillation, quantization, and pruning and compared on a cloud GPU, edge CPU, and edge AI accelerator</t>
  </si>
  <si>
    <t>Claimed comparative benchmark; empirical execution context is not verifiable</t>
  </si>
  <si>
    <t>Reported values are 120 ms/30 tokens·s⁻¹ for cloud GPU, 95 ms/22 tokens·s⁻¹ for edge CPU, and 25 ms/75 tokens·s⁻¹ for an edge AI accelerator; energy is only categorized as high/medium/low.</t>
  </si>
  <si>
    <t>The study omits model identity, parameter count, numerical precision, hardware models, memory results, measurement protocol, repetitions, code, and quantitative energy data.</t>
  </si>
  <si>
    <t>Local language-model inference</t>
  </si>
  <si>
    <t>Text-generation inference acceleration</t>
  </si>
  <si>
    <t>Text prompts; prompt set NR</t>
  </si>
  <si>
    <t>Three-way comparison claimed; experimental controls and repetition protocol NR</t>
  </si>
  <si>
    <t>Compact transformer / local language model</t>
  </si>
  <si>
    <t>Lower-precision inference is discussed; exact format NR</t>
  </si>
  <si>
    <t>Offline model optimization; local inference</t>
  </si>
  <si>
    <t>Knowledge distillation, quantization, pruning, semiconductor acceleration</t>
  </si>
  <si>
    <t>Model preparation and deployment</t>
  </si>
  <si>
    <t>Cloud GPU; edge CPU; edge AI accelerator/NPU/ASIC</t>
  </si>
  <si>
    <t>Generic cloud GPU, edge CPU, and edge accelerator</t>
  </si>
  <si>
    <t>NA</t>
  </si>
  <si>
    <t>Latency, memory, energy, and privacy are discussed generically</t>
  </si>
  <si>
    <t>NV — Claimed comparative benchmark; physical level not verifiable</t>
  </si>
  <si>
    <t>Under-specified comparative experiment</t>
  </si>
  <si>
    <t>NV</t>
  </si>
  <si>
    <t>25 ms accelerator latency is reported; no deadline or protocol</t>
  </si>
  <si>
    <t>No task-quality or output-accuracy metric reported</t>
  </si>
  <si>
    <t>Cloud GPU 120 ms; edge CPU 95 ms; edge AI accelerator 25 ms (claimed)</t>
  </si>
  <si>
    <t>30, 22, and 75 tokens/s, respectively (claimed)</t>
  </si>
  <si>
    <t>The paper states memory was measured but reports no values</t>
  </si>
  <si>
    <t>Categorical only: high, medium, low; no quantitative measurement</t>
  </si>
  <si>
    <t>Claimed ~79% latency reduction relative to cloud execution</t>
  </si>
  <si>
    <t>Not reported: no dataset/prompts, model artifact, code, exact hardware, runtime, versions, measurement procedure, repetitions, or raw results are provided.</t>
  </si>
  <si>
    <t>Use only as conceptual evidence for semiconductor acceleration. Exclude from quantitative hardware, memory, and energy counts unless independent supporting material becomes available.</t>
  </si>
  <si>
    <t>Methodology and platform descriptions pp. 277–279; comparison table/results pp. 279–281; limitations pp. 281–282</t>
  </si>
  <si>
    <t>Medium for textual claims; Low for empirical interpretation</t>
  </si>
  <si>
    <t>The paper blends general literature discussion with an under-specified purported experiment. Values are coded as Claimed, not Measured.</t>
  </si>
  <si>
    <t>Artificial intelligence applications increasingly rely on language models capable of understanding and generating natural language in real time. However, most large language models are typically deployed through cloud-based infrastructures, where network communication, bandwidth limitations, and data transfer delays introduce latency that constrains time-sensitive applications. These limitations have motivated growing interest in performing AI inference directly on edge devices, where computation occurs closer to the data source. At the same time, recent advances in semiconductor design, including neural processing units, application-specific integrated circuits, and specialized AI accelerators, have significantly improved the feasibility of executing complex models on resource-constrained hardware. This study examines how the integration of Edge AI architectures with semiconductor acceleration can enable ultra-low latency inference for locally deployed language models. The paper proposes a hardware-aware system architecture that combines optimized language models with dedicated AI accelerators to support efficient on-device inference. Model optimization strategies, including quantization and parameter reduction, are incorporated to accommodate the computational constraints of edge platforms without significantly degrading performance. A comparative evaluation framework is developed to analyze latency, throughput, and energy efficiency across different deployment environments. Experimental analysis demonstrates that edge-based inference supported by semiconductor accelerators can substantially reduce response latency while maintaining stable throughput and improved energy efficiency compared with conventional cloud-based approaches. These findings highlight the practical viability of deploying compact language models directly on edge devices for real-time intelligent systems. The proposed framework guides the design of future AI systems that require rapid response times, enhanced privacy, and reduced dependence on centralized infrastructure. Applications such as smart surveillance, autonomous robotics, mobile assistants, and industrial monitoring systems can particularly benefit from these advancements.</t>
  </si>
  <si>
    <t>Full-text PDF supplied by user; pp. 1–34</t>
  </si>
  <si>
    <t>Quantized separable spatiotemporal neural networks for word-level sign-language recognition</t>
  </si>
  <si>
    <t>S3D-Conv1D and ultralight variants combine spatial Conv2D and temporal Conv1D processing, with PTQ/QAT analysis and MCU-compatibility assessment</t>
  </si>
  <si>
    <t>WLASL, ASL-Kimpinde, and SemLex100 datasets; multiple 100/300-class experiments; CPU-proxy latency and analytical MCU memory/operator compatibility</t>
  </si>
  <si>
    <t>Videos are sampled to 24 frames, converted to 64×64 grayscale, augmented, and classified by separable spatial-temporal networks. FP32, PTQ INT8, and QAT INT8 variants are compared.</t>
  </si>
  <si>
    <t>Model evaluation and hardware-targeted pre-deployment analysis; no physical MCU execution</t>
  </si>
  <si>
    <t>S3D-Conv1D reached 98.96% FP32 and 98.60% PTQ INT8 on WLASL100, compressed from 3,492 KB to 883 KB. QAT substantially recovered WLASL300 accuracy; an ultralight model reached 24.7 KB.</t>
  </si>
  <si>
    <t>Latency is measured on an Intel Celeron CPU proxy, energy is a utilization×latency proxy, splits are not signer-disjoint, and no physical microcontroller deployment or firmware measurement is reported.</t>
  </si>
  <si>
    <t>Sign-language recognition</t>
  </si>
  <si>
    <t>Multi-class word-level video classification</t>
  </si>
  <si>
    <t>Video / image sequences</t>
  </si>
  <si>
    <t>WLASL100/300, ASL-Kimpinde, and SemLex100</t>
  </si>
  <si>
    <t>WLASL100 subset: 2,181 videos/100 classes/119 signers; ASL-Kimpinde: 250 videos/50 classes/1 signer; SemLex100 curated split: 1,253 valid videos; augmented experiment totals 7,412–15,836 samples</t>
  </si>
  <si>
    <t>Fixed 70/20/10 train/validation/test split; three independent runs. Cross-dataset SemLex100 experiment tests population shift, but the standard split is not signer-disjoint.</t>
  </si>
  <si>
    <t>OpenCV grayscale 64×64; normalization to [0,1]; fixed T=24 frames by subsampling/padding; rotation ±10°, Gaussian blur, and frame-rate resampling</t>
  </si>
  <si>
    <t>Separable CNN / temporal Conv1D network</t>
  </si>
  <si>
    <t>Spatial Conv2D blocks followed by temporal Conv1D and dense classification; ultralight T=8 depthwise variant also evaluated</t>
  </si>
  <si>
    <t>S3D-Conv1D: 892,420 parameters and about 95.6M MACs at T=24/K=100; ultralight variant about 0.94–0.96M FLOPs</t>
  </si>
  <si>
    <t>FP32, PTQ INT8, and QAT INT8</t>
  </si>
  <si>
    <t>Offline supervised training; target on-device inference</t>
  </si>
  <si>
    <t>Post-training quantization, quantization-aware training, separable spatiotemporal processing, temporal-kernel/sequence-length ablation, depthwise ultralight design</t>
  </si>
  <si>
    <t>Architecture design, training, and post-training conversion</t>
  </si>
  <si>
    <t>CPU proxy with MCU-targeted compatibility analysis</t>
  </si>
  <si>
    <t>Intel Celeron N4500 @1.10 GHz for TFLite profiling; proposed MCU-class deployment</t>
  </si>
  <si>
    <t>Single-thread CPU proxy; no embedded accelerator tested</t>
  </si>
  <si>
    <t>1.10 GHz CPU proxy</t>
  </si>
  <si>
    <t>Target-model footprints reported; physical target capacity not tested</t>
  </si>
  <si>
    <t>Video datasets; desktop/Linux environment details incomplete</t>
  </si>
  <si>
    <t>Analytical target of approximately 96–128 KB RAM and integer-only runtime compatibility</t>
  </si>
  <si>
    <t>TensorFlow Lite / LiteRT; compatibility analysis for TFLM, CMSIS-NN, and NNoM</t>
  </si>
  <si>
    <t>TensorFlow/Keras and TFLite conversion; exact version/build options NR</t>
  </si>
  <si>
    <t>INT8 conversion; operator-level compatibility assessment; no deployed firmware</t>
  </si>
  <si>
    <t>Largest activation estimated at 49,152 elements (~50 KB); total target RAM estimated below 96–128 KB</t>
  </si>
  <si>
    <t>2 — Hardware-targeted simulation / CPU proxy</t>
  </si>
  <si>
    <t>Dataset experiments plus single-threaded TFLite CPU profiling</t>
  </si>
  <si>
    <t>No — no MCU execution reported</t>
  </si>
  <si>
    <t>Three training runs; CPU latency median over 20 runs</t>
  </si>
  <si>
    <t>S3D-Conv1D CPU proxy: 26.0 ms / 38.4 FPS; not an embedded-device measurement</t>
  </si>
  <si>
    <t>WLASL100 FP32 98.96 ±0.36%; PTQ INT8 98.60%; SemLex100 FP32 82.48 ±1.50%; PTQ INT8 79.92%; WLASL300 QAT INT8 86.94 ±0.48%</t>
  </si>
  <si>
    <t>26.0 ms median on Intel Celeron N4500 for S3D-Conv1D; not measured on MCU</t>
  </si>
  <si>
    <t>38.4 FPS on CPU proxy</t>
  </si>
  <si>
    <t>Analytical estimate: largest activation ~50 KB; total target RAM &lt;96–128 KB</t>
  </si>
  <si>
    <t>S3D-Conv1D 3,492 KB FP32 and 883 KB INT8; ultralight QAT model 24.7 KB (WLASL100) and 34.9 KB (WLASL300)</t>
  </si>
  <si>
    <t>Only a CPU utilization × latency proxy (1560 for S3D-Conv1D); no embedded energy measurement</t>
  </si>
  <si>
    <t>S3D-Conv1D ~191.1M FLOPs; operator support assessed across TFLM, CMSIS-NN, and NNoM</t>
  </si>
  <si>
    <t>Strong for software/model experimentation: public datasets, GitHub source/training code, FP32/INT8 artifacts, and a Zenodo release (DOI 10.5281/zenodo.18758927). No MCU firmware or physical-device benchmark is provided.</t>
  </si>
  <si>
    <t>Do not count this study as physical MCU validation or measured embedded energy. Cross-study hardware claims are pre-deployment estimates, and the standard split is not signer-disjoint.</t>
  </si>
  <si>
    <t>Datasets/preprocessing pp. 7–12; architecture and deployment methodology pp. 12–18; Tables 2–15 and results pp. 18–30; Data Availability p. 30</t>
  </si>
  <si>
    <t>Full text corrects the deployment impression from the abstract: the study performs CPU proxy profiling and compatibility analysis, not physical MCU inference.</t>
  </si>
  <si>
    <t>Deploying efficient sign language recognition models on edge devices advances inclusive, affordable, and privacy-preserving human–computer interaction. Yet most state-of-the-art architectures target server-class hardware and fail under the strict memory, computation, and energy constraints of microcontrollers. This work introduces S3D-Conv1D, a separable spatiotemporal architecture for isolated word-level sign language recognition, tailored for TinyML deployment. While the idea of separating spatial and temporal processing has been explored in earlier models, the novelty here lies in a deployment pipeline designed from the outset for microcontroller-class constraints: every operator has native INT8 support in TensorFlow Lite, CMSIS-NN, and NNoM; the architecture achieves full integer-only execution with competitive accuracy; and the evaluation scale (100 and 300 classes) substantially exceeds prior TinyML sign language recognition studies. Evaluations on datasets show that S3D-Conv1D achieves 98.96% float32 accuracy on WLASL100 with stable cross-dataset generalization (82.5% on SemLex100). After INT8 quantization, accuracy remains high (98.7% on WLASL100) while compressing to 883 KB, the smallest across all evaluated architectures. An ultralight variant further reduces size to 24.7 KB while sustaining 98.5% accuracy on WLASL100 and 77.2% on WLASL300. Quantization-aware training improves stability, particularly at larger vocabulary scales. Among baselines, S3D achieves strong performances but negligible compression (30.3 MB) due to non-quantization-friendly operators. The MobileNet variant generalizes better with 99.4% on WLASL100 and 97.6% accuracy on SemLex100 but remains large at 2.71 MB in INT8 form. CNN + RNN and e-LSTM depend on unsupported recurrent or attention operators. In contrast, S3D-Conv1D meets all operator compatibility requirements, delivers full INT8 execution with a compact sub-1 MB footprint, and real-time performance. These results demonstrate that competitive word-level sign language recognition is achievable under embedded constraints when architectural design prioritizes quantization stability, operator compatibility, and deployment feasibility from the outset.</t>
  </si>
  <si>
    <t>Full-text PDF supplied by user; pp. 201–207</t>
  </si>
  <si>
    <t>Hardware-aware TinyML optimization for onboard CubeSat image classification</t>
  </si>
  <si>
    <t>Structured pruning, INT8 quantization, and Neural-ART NPU operator mapping are evaluated on STM32N6 for Earth-observation classification and hybrid downlink filtering</t>
  </si>
  <si>
    <t>SqueezeNet, MobileNetV3, EfficientNet, and MCUNetV1 on EuroSAT, RS_C11, and MEDIC; physical STM32N6570-DK latency, memory, and energy results</t>
  </si>
  <si>
    <t>Models are trained in PyTorch, iteratively pruned, statically quantized to INT8, converted/mapped through the ST Edge AI toolchain, and profiled on the STM32N6570-DK</t>
  </si>
  <si>
    <t>Controlled physical-board validation on a CubeSat-class proxy platform</t>
  </si>
  <si>
    <t>Across workloads, optimized models reduced RAM by an average 89.55% and Flash by 70.09%, with 0.4–8.6 percentage-point accuracy loss. Physical latency ranged 3.2–30.4 ms and energy 0.68–6.45 mJ.</t>
  </si>
  <si>
    <t>The development board was not integrated into or flown on a CubeSat; field/orbit behavior, radiation tolerance, thermal operation, code artifacts, and raw measurements were not evaluated or released.</t>
  </si>
  <si>
    <t>CubeSat / Earth-observation image classification</t>
  </si>
  <si>
    <t>Onboard multi-class image classification and selective downlink</t>
  </si>
  <si>
    <t>Satellite / remote-sensing imagery</t>
  </si>
  <si>
    <t>EuroSAT (64×64), RS_C11 (128×128), MEDIC (224×224)</t>
  </si>
  <si>
    <t>Dataset-defined image samples; exact split counts NR in extracted text</t>
  </si>
  <si>
    <t>Baseline versus optimized model comparison on three datasets and four architectures; physical target profiling and hybrid-downlink simulation</t>
  </si>
  <si>
    <t>Dataset-specific image resizing/normalization; model-specific input resolution; exact augmentation details NR</t>
  </si>
  <si>
    <t>Compact CNNs</t>
  </si>
  <si>
    <t>SqueezeNet, MobileNetV3, EfficientNet, and MCUNetV1</t>
  </si>
  <si>
    <t>Model-specific; exact parameter/MAC totals not consolidated</t>
  </si>
  <si>
    <t>FP32 baseline and static INT8 post-training quantization</t>
  </si>
  <si>
    <t>Three-stage structured pruning (10% + 5% + 5%), PTQ INT8, hardware-aware operator mapping, pipeline scheduling, buffer reuse, and operator fusion</t>
  </si>
  <si>
    <t>Training/fine-tuning, post-training quantization, compilation, and runtime mapping</t>
  </si>
  <si>
    <t>MCU with integrated NPU</t>
  </si>
  <si>
    <t>STM32N6570-DK discovery kit; MB1854 B-CAMS-IMX camera described</t>
  </si>
  <si>
    <t>Arm Cortex-M55 at 800 MHz; Neural-ART NPU up to 1 GHz</t>
  </si>
  <si>
    <t>800 MHz CPU; up to 1 GHz NPU</t>
  </si>
  <si>
    <t>4.2 MB embedded SRAM</t>
  </si>
  <si>
    <t>Board capacity NR; optimized model Flash footprints approximately 0.82–4.20 MB in reported examples</t>
  </si>
  <si>
    <t>Camera interface described; embedded ST firmware/toolchain</t>
  </si>
  <si>
    <t>CubeSat compute, memory, energy, and downlink budget; 5 FPS minimum processing target</t>
  </si>
  <si>
    <t>STM32Cube.AI / ST Edge AI Developer Cloud and Neural-ART mapping</t>
  </si>
  <si>
    <t>PyTorch training; ONNX/model conversion; ST Edge AI Suite</t>
  </si>
  <si>
    <t>NPU partitioning, hardware-aware operator mapping, operator fusion, and generated deployment code</t>
  </si>
  <si>
    <t>Buffer reuse and memory scheduling within 4.2 MB SRAM</t>
  </si>
  <si>
    <t>Physical STM32N6570-DK board used as a CubeSat-class hardware proxy</t>
  </si>
  <si>
    <t>Yes — STM32N6570-DK with Neural-ART NPU</t>
  </si>
  <si>
    <t>All configurations exceeded the stated 5 FPS requirement; latency 3.2–30.4 ms</t>
  </si>
  <si>
    <t>Representative EuroSAT optimized accuracy: SqueezeNet 92.69%, EfficientNet 96.24%, MCUNetV1 95.40%; average loss across experiments 0.4–8.6 pp</t>
  </si>
  <si>
    <t>EuroSAT 3.2–13.5 ms; RS_C11 7.5–17.9 ms; MEDIC 12.6–30.4 ms across architectures</t>
  </si>
  <si>
    <t>Approximately 32.9–312.5 FPS from reported latency range</t>
  </si>
  <si>
    <t>Representative optimized RAM: SqueezeNet 0.49 MB, MobileNetV3 0.11 MB, EfficientNet 0.12 MB, MCUNetV1 0.09 MB</t>
  </si>
  <si>
    <t>Representative optimized Flash: SqueezeNet 0.82 MB, EfficientNet 4.20 MB, MCUNetV1 2.10 MB; average reduction 70.09%</t>
  </si>
  <si>
    <t>0.68–6.45 mJ per inference across reported dataset/model combinations</t>
  </si>
  <si>
    <t>EuroSAT hybrid example transmitted 768/5,400 images (9.45 versus 66.4 MB), reducing downlink volume by 85.77% while reaching 95.20% hybrid accuracy</t>
  </si>
  <si>
    <t>Partial: datasets, standard architectures, hardware, training settings, optimization schedule, and physical metrics are documented. Public code, deployed firmware, exact toolchain versions, model artifacts, and raw benchmark files were not identified.</t>
  </si>
  <si>
    <t>Code as controlled-board evidence, not CubeSat field/orbit validation. Do not generalize board energy to a full spacecraft duty cycle.</t>
  </si>
  <si>
    <t>Hardware and workflow pp. 201–203; optimization and experimental setup pp. 203–205; Figs. 2–4 and results pp. 204–206</t>
  </si>
  <si>
    <t>Physical execution is confirmed, but the platform is a development-board proxy and was not physically integrated into a CubeSat.</t>
  </si>
  <si>
    <t>Earth observation (EO) missions traditionally rely on transmitting raw or minimally processed imagery from satellites to ground stations for computationally intensive analysis. This paradigm is infeasible for CubeSat systems due to stringent constraints on the onboard embedded processors, energy availability, and communication bandwidth. To overcome these limitations, the paper presents a TinyML-based Convolutional Neural Networks (ConvNets) model optimization and deployment pipeline for onboard image classification, enabling accurate, energy-efficient, and hardware-aware inference under CubeSat-class constraints. Our pipeline integrates structured iterative pruning, post-training INT8 quantization, and hardware-aware operator mapping to compress models and align them with the heterogeneous compute architecture of the STM32N6 microcontroller from STMicroelectronics. This Microcontroller Unit (MCU) integrates a novel Arm Cortex-M55 core and a Neural-ART Neural Processing Unit (NPU), providing a realistic proxy for CubeSat onboard computers. The paper evaluates the proposed approach on three EO benchmark datasets (i.e., EuroSAT, RS_C11, MEDIC) and four models (i.e., SqueezeNet, MobileNetV3, EfficientNet, MCUNetV1). We demonstrate an average reduction in RAM usage of 89.55% and Flash memory of 70.09% for the optimized models, significantly decreasing downlink bandwidth requirements while maintaining task-acceptable accuracy (with a drop ranging from 0.4 to 8.6 percentage points compared to the Float32 baseline). The energy consumption per inference ranges from 0.68 mJ to 6.45 mJ, with latency spanning from 3.22 ms to 30.38 ms. These results fully satisfy the stringent energy budgets and real-time constraints required for efficient onboard EO processing.</t>
  </si>
  <si>
    <t>Full-text PDF supplied by user; pp. 1–19</t>
  </si>
  <si>
    <t>FastKAN-based driver-drowsiness image classification optimized into small TFLite artifacts</t>
  </si>
  <si>
    <t>A two-layer Kolmogorov–Arnold network with RBF-based activations is evaluated under subject-disjoint validation and multiple post-training quantization formats</t>
  </si>
  <si>
    <t>UTA-RLDD: 60 participants, 180 videos, about 30 h; 20,205 filtered frames; 12-subject held-out test and 5-fold subject-disjoint cross-validation</t>
  </si>
  <si>
    <t>Frames are uniformly sampled, quality-filtered, resized, and classified by FastKAN. Dynamic-range, full-integer, float16, and weight-only TFLite variants are compared.</t>
  </si>
  <si>
    <t>Subject-disjoint predictive validation plus laptop/TFLite deployment profiling; no physical MCU test</t>
  </si>
  <si>
    <t>The 64×64 model achieved 99.94 ±0.04% held-out accuracy. Dynamic/weight-only PTQ yielded 104 KB and 0.14 ms; the 32×32 version yielded 35 KB and 0.05 ms in the reported host environment.</t>
  </si>
  <si>
    <t>No microcontroller board is identified or tested; reported sub-millisecond latency comes from a Lenovo laptop environment, full-integer quantization collapsed to 48.86% accuracy, and no energy/RAM measurement is provided.</t>
  </si>
  <si>
    <t>Automotive driver monitoring</t>
  </si>
  <si>
    <t>Binary awake versus drowsy image classification</t>
  </si>
  <si>
    <t>RGB video frames / facial images</t>
  </si>
  <si>
    <t>University of Texas at Arlington Real-Life Drowsiness Dataset (UTA-RLDD)</t>
  </si>
  <si>
    <t>60 participants, 180 videos, ~30 h; 20,205 retained frames; 48 subjects for train/validation and 12 subjects for held-out test (3,366 frames)</t>
  </si>
  <si>
    <t>Subject-disjoint held-out test; five-fold subject-disjoint cross-validation on the 48-subject training pool; bootstrap confidence intervals</t>
  </si>
  <si>
    <t>1 FPS sampling; discard first/last 10%; face detection; blur/illumination checks; SSIM &lt;0.98 filtering; resize to 150/128/64/32 pixels</t>
  </si>
  <si>
    <t>FastKAN / Kolmogorov–Arnold network</t>
  </si>
  <si>
    <t>Flattened image input → FastKAN layer with 5 units → FastKAN layer with 2 outputs; RBF plus linear SiLU; two grid points</t>
  </si>
  <si>
    <t>64×64: 69,686 parameters; 32×32: 17,462 parameters; other resolutions also reported</t>
  </si>
  <si>
    <t>FP32; dynamic-range PTQ; full INT8; float16; weight-only PTQ</t>
  </si>
  <si>
    <t>Offline supervised training; target embedded inference</t>
  </si>
  <si>
    <t>Input-resolution reduction and post-training quantization variants</t>
  </si>
  <si>
    <t>Architecture/input design and post-training conversion</t>
  </si>
  <si>
    <t>Host CPU evaluation with MCU-targeted model artifacts</t>
  </si>
  <si>
    <t>Lenovo Legion laptop, Windows 11; no MCU board specified</t>
  </si>
  <si>
    <t>Intel Core i7-11800H; 6 GB discrete GPU present; inference context reported on local machine</t>
  </si>
  <si>
    <t>16 GB host RAM; MCU target capacity NR</t>
  </si>
  <si>
    <t>NA for host; model artifact size reported</t>
  </si>
  <si>
    <t>UTA-RLDD video; Windows 11 host</t>
  </si>
  <si>
    <t>Model size and claimed microcontroller suitability; no actual embedded resource envelope tested</t>
  </si>
  <si>
    <t>TensorFlow/Keras and TensorFlow Lite</t>
  </si>
  <si>
    <t>Google Colab V100 for training; local Windows workstation for preprocessing/quantization/evaluation</t>
  </si>
  <si>
    <t>.tflite models converted to C++ uint8 arrays (.cc)</t>
  </si>
  <si>
    <t>2 — Hardware-targeted software evaluation</t>
  </si>
  <si>
    <t>Subject-disjoint dataset experiment and host-machine TFLite timing</t>
  </si>
  <si>
    <t>No — no microcontroller execution demonstrated</t>
  </si>
  <si>
    <t>Five-fold subject-disjoint CV; 2,000 bootstrap resamples for confidence intervals; latency repetition count NR</t>
  </si>
  <si>
    <t>0.05–0.21 ms reported for quantized variants on host environment; not an MCU measurement</t>
  </si>
  <si>
    <t>64×64 held-out accuracy/precision/recall/F1 99.94%; 95% CI [99.78, 99.98]. Full-integer PTQ accuracy 48.86%.</t>
  </si>
  <si>
    <t>64×64: dynamic/weight-only 0.14 ms, float16 0.16 ms, full integer 0.21 ms; 32×32: 0.05–0.07 ms, measured in host environment</t>
  </si>
  <si>
    <t>64×64 baseline 303 KB; dynamic/weight-only 104 KB; full integer 84 KB; float16 149 KB. 32×32 dynamic/weight-only 35 KB.</t>
  </si>
  <si>
    <t>C++ array artifact sizes: 661 KB (64×64) and 224 KB (32×32)</t>
  </si>
  <si>
    <t>Partial: UTA-RLDD is an established external dataset and a public GitHub code repository is stated (https://github.com/sihamess/driver_drowsiness_detection_TinyML). Repository contents, releases, exact environments, trained artifacts, and firmware were not independently audited.</t>
  </si>
  <si>
    <t>Do not code reported latency as microcontroller performance. The paper's embedded-deployment claims exceed the demonstrated host-based evidence.</t>
  </si>
  <si>
    <t>Dataset and preprocessing pp. 5–8; model and validation pp. 8–12; Tables 2–7 and quantization results pp. 12–16; code link p. 2</t>
  </si>
  <si>
    <t>High for model/data values; Medium for latency context</t>
  </si>
  <si>
    <t>No physical MCU is named or shown. The analysis therefore codes the study as hardware-targeted software evaluation despite repeated microcontroller-suitability claims.</t>
  </si>
  <si>
    <t>Driver drowsiness is a leading cause of traffic accidents and fatalities, highlighting the urgent need for intelligent systems capable of real-time fatigue detection. Although recent advancements in machine learning (ML) and deep learning (DL) have significantly improved detection accuracy, most existing models are computationally demanding and not well-suited for deployment in resource-limited environments such as microcontrollers. While the emerging domain of TinyML presents promising avenues for such applications, there remains a substantial gap in the development of lightweight, interpretable, and high-performance models specifically tailored for embedded automotive systems. This paper introduces FastKAN-DDD, an innovative driver drowsiness detection model grounded in the Fast Kolmogorov-Arnold Network (FastKAN) architecture. The model incorporates learnable nonlinear activation functions based on radial basis functions (RBFs), facilitating efficient function approximation with a minimal number of parameters. To enhance suitability for TinyML deployment, the model is further optimized through post-training quantization techniques, including dynamic range, float-16, and weight-only quantization. Comprehensive experiments were conducted using the UTA-RLDD dataset—a real-world benchmark for driver drowsiness detection—evaluating the model across various input resolutions and quantization schemes. The FastKAN-DDD model achieved a test accuracy of 99.94%, with inference latency as low as 0.04 ms and a total memory footprint of merely 35 KB, rendering it exceptionally well-suited for real-time inference on microcontroller-based systems. Comparative evaluations further confirm that FastKAN surpasses several state-of-the-art TinyML models in terms of accuracy, computational efficiency, and model compactness. Our code’s are publicly available at: https://github.com/sihamess/driver_drowsiness_detection_TinyML .</t>
  </si>
  <si>
    <t>Full-text PDF supplied by user; pp. 4605–4622</t>
  </si>
  <si>
    <t>Hardware-aware design-space exploration of INT8 MLPs for RIS beam selection</t>
  </si>
  <si>
    <t>DeepMIMO-trained MLPs are deployed through vanilla TFLM on four physical MCUs to characterize achievable-rate versus latency trade-offs and Pareto fronts</t>
  </si>
  <si>
    <t>Ten DeepMIMO-derived datasets spanning two RIS sizes and five active-element counts; 36,200 user locations per dataset; 3,000 timed physical-device inferences after warm-up</t>
  </si>
  <si>
    <t>MLPs map sampled channel-state information to rate vectors. Models are trained in Keras, fully quantized to INT8, embedded as C arrays, and benchmarked with serial-host orchestration.</t>
  </si>
  <si>
    <t>Controlled physical-device benchmarking on four MCU platforms</t>
  </si>
  <si>
    <t>STM32H753ZI dominated about 95% of global Pareto-optimal configurations; near-genie rates were achieved around 10 ms, with minimum latencies of 803 µs and 217 µs for selected 64×64 and 32×32 RIS cases.</t>
  </si>
  <si>
    <t>Channels are generated by ray tracing rather than a physical RIS testbed; labels require exhaustive search; no energy measurement or end-to-end radio/RIS integration is reported.</t>
  </si>
  <si>
    <t>Wireless communications / reconfigurable intelligent surfaces</t>
  </si>
  <si>
    <t>Beam/configuration selection through achievable-rate regression/classification</t>
  </si>
  <si>
    <t>Complex channel-state information / ray-tracing wireless channels</t>
  </si>
  <si>
    <t>DeepMIMO O1 ray-tracing scenario; ten generated datasets</t>
  </si>
  <si>
    <t>36,200 user locations per dataset; 30,000 training, 3,100 validation, and 3,100 test samples; two RIS sizes and five active-element settings</t>
  </si>
  <si>
    <t>Design-space sweep across model depth/width, RIS size, active-element count, and four MCUs; 100 warm-up samples discarded and 3,000 test inferences averaged per configuration</t>
  </si>
  <si>
    <t>Sampled complex CSI split into real/imaginary inputs, normalization/scaling, noise augmentation, and input quantization</t>
  </si>
  <si>
    <t>Multilayer perceptron</t>
  </si>
  <si>
    <t>Variable hidden-layer count; widths [IF/G, 4IF/G, 4IF/G] with G ∈ {1,8,32}; ReLU; output vector over RIS codebook</t>
  </si>
  <si>
    <t>Configuration-dependent; exact totals generated by the design-space exploration</t>
  </si>
  <si>
    <t>FP32 training and full-integer INT8 post-training quantization</t>
  </si>
  <si>
    <t>Architecture design-space exploration, INT8 PTQ, model-in-SRAM placement, input quantization optimization</t>
  </si>
  <si>
    <t>Architecture selection, post-training conversion, and deployment/memory placement</t>
  </si>
  <si>
    <t>Raspberry Pi Pico RP2040; ESP32-S2-SOLO DevKitC-1; STM32F446ZE Nucleo-144; STM32H753ZI Nucleo-144</t>
  </si>
  <si>
    <t>Dual Cortex-M0+; Xtensa LX7; Cortex-M4; Cortex-M7; no dedicated AI accelerator used</t>
  </si>
  <si>
    <t>133 MHz; 240 MHz; 180 MHz; 400 MHz, respectively</t>
  </si>
  <si>
    <t>264 KB; 320 KB; 128 KB; 1 MB SRAM, respectively</t>
  </si>
  <si>
    <t>2 MB off-chip QSPI XIP; 4 MB off-chip QSPI XIP; 512 KB on-chip; 2 MB on-chip, respectively</t>
  </si>
  <si>
    <t>No sensors/OS; host serial interface supplies benchmark samples</t>
  </si>
  <si>
    <t>RAM/Flash placement, cache/XIP behavior, model size, and latency under MCU-only inference</t>
  </si>
  <si>
    <t>Vanilla TensorFlow Lite Micro; CMSIS-NN and ESP-NN explicitly not used</t>
  </si>
  <si>
    <t>TensorFlow/Keras; LiteRT/TFLite converter; PlatformIO; C++17; -O3</t>
  </si>
  <si>
    <t>Quantized .tflite model converted to C byte array; generic TFLM kernels</t>
  </si>
  <si>
    <t>Static tensor arena of 32–128 KB; models compared in Flash versus SRAM</t>
  </si>
  <si>
    <t>Serial-controlled physical benchmarking across four MCU boards</t>
  </si>
  <si>
    <t>Yes — four MCU platforms</t>
  </si>
  <si>
    <t>3,100 test samples per configuration; first 100 discarded; mean over 3,000 timed samples</t>
  </si>
  <si>
    <t>Minimum 803 µs (64×64 case) and 217 µs (32×32 case); selected near-genie configurations around 10 ms</t>
  </si>
  <si>
    <t>Achievable rate: representative STM32H753ZI results 4.893 bps/Hz (64×64, 12 active elements) and 1.771 bps/Hz (32×32, 28 active elements)</t>
  </si>
  <si>
    <t>Selected minima 803 µs and 217 µs; near-genie points around 10 ms; one ESP32-S2 outlier reached 277 ms</t>
  </si>
  <si>
    <t>Compile-reported static arena 32–128 KB plus model/input buffers; exact peak varies by configuration</t>
  </si>
  <si>
    <t>Configuration-dependent compile report; model-in-SRAM and Flash placement compared</t>
  </si>
  <si>
    <t>STM32H753ZI contributed about 95% of global Pareto fronts; latency includes normalization, quantization, TFLM invoke, and argmax</t>
  </si>
  <si>
    <t>Strong/Partial: DeepMIMO is open and the paper provides a public code/configuration repository (https://github.com/LucaUrbinati44/DL-on-RISC/), exact boards, compile settings, arena policy, and benchmark procedure. Repository contents and raw benchmark files were not independently audited; no repository DOI is stated.</t>
  </si>
  <si>
    <t>The study validates MCU execution, not a complete physical RIS system. Ray-tracing channel generalization and energy consumption remain untested.</t>
  </si>
  <si>
    <t>System/model formulation pp. 4608–4613; DeepMIMO/training and Tables I–II pp. 4612–4616; benchmark method and Figs. 5–9 pp. 4616–4620; repository reference</t>
  </si>
  <si>
    <t>This is strong physical MCU evidence with explicit measurement boundaries. Keep achievable rate separate from conventional classification accuracy.</t>
  </si>
  <si>
    <t>Reconfigurable Intelligent Surfaces (RISs) promise a paradigm shift in wireless communication by enabling smart propagation environments. However, traditional RIS control, which relies on base station (BS) decisions and high-volume feedback loops, struggles to meet the stringent real-time demands of next-generation systems. To overcome these limitations, this work explores direct on-board RIS control through deep learning (DL) algorithms. In particular, we shift DL-based codebook selection from the BS to the microcontroller unit (MCU) integrated into the RIS control board via a Tiny Machine Learning (TinyML) deployment pipeline. Unlike prior studies that assume such deployment feasibility without empirical validation, we conduct a hardware-aware design-space exploration that quantifies the trade-off between controller design and communication performance across a range of DL models and MCU-class embedded devices, and identifies the resulting latency-rate Pareto frontier under realistic constraints. This paper provides design guidelines for jointly selecting RIS size, number of active elements, DL model complexity, and MCU class to meet application-specific rate and real-time requirements.</t>
  </si>
  <si>
    <t>Full-text PDF supplied by user; pp. 3–9</t>
  </si>
  <si>
    <t>TinyML maize-leaf disease classification with Edge Impulse and Arduino Nano 33 BLE Sense</t>
  </si>
  <si>
    <t>Comparative TinyML workflow combining public image datasets, CNN training, INT8 conversion, resource profiling, and a live camera demonstration</t>
  </si>
  <si>
    <t>19,798 original JPEG images from Harvard Dataverse and Mendeley plus augmented images; five maize-leaf classes</t>
  </si>
  <si>
    <t>Three convolution/max-pooling blocks, flattening, 128-neuron ReLU dense layer, dropout 0.25, L1 regularization, and five-class output; Adam/categorical cross-entropy for 20 epochs.</t>
  </si>
  <si>
    <t>Physical-device live demonstration plus Edge Impulse resource profiling; no field validation</t>
  </si>
  <si>
    <t>INT8 testing accuracy was 94.84%. Table VII reports 7,648 ms total inference, 726.6 KB classifier RAM, and 344.7 KB Flash; a live image was classified on the Arduino workflow.</t>
  </si>
  <si>
    <t>Latency is internally inconsistent (76.48 s in Table VI versus 7.648 s in Table VII); memory/latency appear to be profiler estimates rather than independently instrumented measurements; no field study or repeated device trials.</t>
  </si>
  <si>
    <t>Smart agriculture / maize disease identification</t>
  </si>
  <si>
    <t>Five-class image classification</t>
  </si>
  <si>
    <t>RGB leaf images</t>
  </si>
  <si>
    <t>Harvard Dataverse and Mendeley public maize-leaf image datasets; study-specific augmented set</t>
  </si>
  <si>
    <t>19,798 original images; five classes; augmented-image total not clearly consolidated</t>
  </si>
  <si>
    <t>Edge Impulse 80/20 training/testing split; training/validation/testing metrics reported; one live camera demonstration</t>
  </si>
  <si>
    <t>Image resizing/feature generation, noise reduction, data augmentation, and normalization through the Edge Impulse workflow</t>
  </si>
  <si>
    <t>Convolutional neural network</t>
  </si>
  <si>
    <t>Three convolution layers (3×3 kernels), three max-pooling layers, flatten, dense 128 ReLU, dropout 0.25, L1 regularization, five-class output</t>
  </si>
  <si>
    <t>Input feature count reported as 27,648; total parameters/MACs NR</t>
  </si>
  <si>
    <t>INT8 selected; FLOAT32 baseline profiled</t>
  </si>
  <si>
    <t>Data augmentation, fine-tuning, INT8 quantization</t>
  </si>
  <si>
    <t>Training and post-training conversion</t>
  </si>
  <si>
    <t>MCU / wearable development board</t>
  </si>
  <si>
    <t>Arduino Nano 33 BLE Sense with TinyML shield/camera</t>
  </si>
  <si>
    <t>64 MHz MCU; no dedicated accelerator reported</t>
  </si>
  <si>
    <t>64 MHz</t>
  </si>
  <si>
    <t>256 KB SRAM stated for the board, although profiler reports 726.6 KB classifier RAM</t>
  </si>
  <si>
    <t>1 MB Flash stated for the board</t>
  </si>
  <si>
    <t>Camera on TinyML shield; Arduino environment</t>
  </si>
  <si>
    <t>Reported classifier RAM exceeds stated 256 KB SRAM, requiring interpretation of Edge Impulse profiling/memory boundaries</t>
  </si>
  <si>
    <t>Edge Impulse; TensorFlow Lite model; Arduino IDE</t>
  </si>
  <si>
    <t>Edge Impulse deployment pipeline and Arduino IDE; versions NR</t>
  </si>
  <si>
    <t>Edge Impulse-generated deployment library; kernel details NR</t>
  </si>
  <si>
    <t>3 — Physical-device execution</t>
  </si>
  <si>
    <t>Live camera/device demonstration; resource metrics reported by Edge Impulse profiler</t>
  </si>
  <si>
    <t>Yes — Arduino Nano 33 BLE Sense workflow</t>
  </si>
  <si>
    <t>Described as real-time, but Table VII gives 7.648 s total latency; the claim is not supported by a stated deadline</t>
  </si>
  <si>
    <t>Testing accuracy 94.84%; class F1 values 0.99, 0.98, 0.92, 0.99, and 0.93; training 96%, validation 95%</t>
  </si>
  <si>
    <t>INT8 Table VII: image stage 11 ms + classifier 7,637 ms = 7,648 ms; Table VI reports 76.48 s (internal inconsistency). FLOAT32 classifier: 69,552 ms.</t>
  </si>
  <si>
    <t>INT8 classifier 726.6 KB; image stage 4.0 KB; FLOAT32 classifier 2.8 MB</t>
  </si>
  <si>
    <t>INT8 344.7 KB Flash; FLOAT32 1.2 MB</t>
  </si>
  <si>
    <t>Live example predicted Streak Virus with 0.97 confidence</t>
  </si>
  <si>
    <t>Partial: source datasets are cited and public, but the processed split, code, trained/quantized model, firmware, and repository are not provided; data availability states data are available on request.</t>
  </si>
  <si>
    <t>Internal latency inconsistency, RAM/platform-capacity mismatch, and unclear distinction between profiler estimates and measured device behavior.</t>
  </si>
  <si>
    <t>Dataset p.3; model/hardware pp.4–5; split and predictive results pp.6–7; resource Table VII/live demonstration pp.7–8; data availability p.9</t>
  </si>
  <si>
    <t>High for reported values; Medium for deployment interpretation</t>
  </si>
  <si>
    <t>Corrects the preliminary matrix: this is not simulation-only. A physical live demonstration is reported, while system metrics are profiler-derived and internally inconsistent.</t>
  </si>
  <si>
    <t>Maize, a vital global food crop, is susceptible to various diseases impacting agricultural yield and quality, necessitating effective monitoring strategies. This study presents a comprehensive approach utilizing advanced Convolutional Neural Network (CNN) architecture for efficient maize leaf disease detection and classification. Leveraging datasets from Kaggle, Harvard Dataverse, and Mendeley, the proposed CNN maize disease detection (MDD) system integrates optimization techniques, data augmentation, batch size adjustments, and fine-tuning strategies. Evaluation through data splitting reveals significant correlations among maize leaf classifications and the influence of data augmentation on image quality. Following training, the CNN-MDD model is deployed on a Microcontroller Unit (MCU) simulation, achieving promising optimization parameters: latency of 7.60 ms, RAM size of 726.60 KB, classifier flash size of 344.70 KB, and an accuracy of 94.60 %. These optimized parameters align well with MCU specifications, highlighting the potential for practical deployment on low-cost edge devices like Arduino Ble 33 Sense. Additionally, this research contributes to the creation of a Ghanaian maize crop pest and disease dataset and the development of an optimal and cost-effective CNN-MDD MCU edge device, aiming to provide local farmers in Ghana and Sub-Saharan Africa with a swift, offline solution for maize disease detection, thus fostering sustainable agricultural practices. We conduct a comparative analysis of Edge Impulse and TensorFlow, two prominent machine-learning platforms for TinyML model development and deployment in various applications, including smart crop disease detection. Utilizing a dataset comprising 12,344 raw images and 7,454 augmented images of healthy and diseased maize leaves, we evaluate the workflow, features, performance, and usability of each platform. Our findings indicate that Edge Impulse holds a slight advantage over TensorFlow in terms of ease of use, reliability, and memory footprint, whereas TensorFlow offers greater flexibility, customization options, and higher accuracy. We conclude that while both platforms are suitable for crop disease detection, a combined approach allows for leveraging TensorFlow's robust training capabilities for complex neural networks alongside the simplicity of Edge Impulse for deploying models on low-powered edge devices. This synergistic approach enhances the effectiveness and efficiency of crop disease detection systems, ultimately benefiting agricultural practices and food security.</t>
  </si>
  <si>
    <t>Full-text preprint supplied by user; pp. 1–6</t>
  </si>
  <si>
    <t>Systems-oriented methodological framework for microcontroller-class embedded ML</t>
  </si>
  <si>
    <t>Organizes data collection, feature engineering, class-imbalance validation, deployment, streaming scheduling, and field monitoring into an end-to-end design workflow</t>
  </si>
  <si>
    <t>Conceptual synthesis with illustrative motion-recognition and keyword-spotting pipelines; no original empirical dataset or experiment</t>
  </si>
  <si>
    <t>Narrative systems framework supported by design rules and representative examples: accelerometer RMS/PSD features and MFCC-based compact CNN keyword spotting</t>
  </si>
  <si>
    <t>Conceptual/methodological; no original device experiment</t>
  </si>
  <si>
    <t>The preprint argues that successful embedded ML requires co-design of data, validation, quantization, scheduling, memory, and deployment rather than isolated model optimization.</t>
  </si>
  <si>
    <t>No original model, dataset, hardware implementation, quantitative benchmark, repository, or reproducibility artifact is presented.</t>
  </si>
  <si>
    <t>General microcontroller-class Edge AI methodology</t>
  </si>
  <si>
    <t>Design and evaluation guidance rather than a single predictive task</t>
  </si>
  <si>
    <t>Illustrative inertial and audio signals</t>
  </si>
  <si>
    <t>No original dataset; representative examples only</t>
  </si>
  <si>
    <t>Methodological recommendations for subject/session/device-aware splits and class-sensitive evaluation; no original validation</t>
  </si>
  <si>
    <t>Illustrative 3-axis accelerometer RMS/PSD pipeline (example 33 features) and audio MFCC pipeline</t>
  </si>
  <si>
    <t>Illustrative small dense classifier and compact 1D CNN</t>
  </si>
  <si>
    <t>Examples only; no single implemented architecture</t>
  </si>
  <si>
    <t>Quantization recommended; no original deployed precision result</t>
  </si>
  <si>
    <t>Offline training and streaming inference are discussed conceptually</t>
  </si>
  <si>
    <t>Quantization, feature reduction, thresholding, scheduling, buffer control, and deployment-aware design</t>
  </si>
  <si>
    <t>Methodological guidance across the lifecycle</t>
  </si>
  <si>
    <t>Generic MCU-class devices</t>
  </si>
  <si>
    <t>No original target platform</t>
  </si>
  <si>
    <t>Illustrative accelerometer and microphone pipelines</t>
  </si>
  <si>
    <t>Memory, compute, latency, power, sampling, and class imbalance</t>
  </si>
  <si>
    <t>Edge Impulse, TensorFlow Lite Micro, CMSIS-NN, and custom C/C++ are discussed</t>
  </si>
  <si>
    <t>Generic; no original versions/build</t>
  </si>
  <si>
    <t>Discussed conceptually</t>
  </si>
  <si>
    <t>Static buffers and predictable scheduling recommended</t>
  </si>
  <si>
    <t>0 — Conceptual / methodological</t>
  </si>
  <si>
    <t>No original timing result; recommends deadline-aware scheduling and end-to-end measurement</t>
  </si>
  <si>
    <t>NA — no original empirical model</t>
  </si>
  <si>
    <t>NA — no original benchmark</t>
  </si>
  <si>
    <t>Provides recommended reporting categories rather than measured values</t>
  </si>
  <si>
    <t>Not applicable as an empirical study: no original data, code, model, firmware, or benchmark artifacts are presented. The methodological text itself is available as an arXiv preprint.</t>
  </si>
  <si>
    <t>Use only for methodology, taxonomy, and reporting guidance. Exclude from quantitative counts of empirical hardware validation and performance metrics.</t>
  </si>
  <si>
    <t>Preprint pp. 1–6; Tables I–IV</t>
  </si>
  <si>
    <t>A10 remains a preprint and is methodologically useful but not primary empirical evidence. Its placement in the core corpus should be treated qualitatively.</t>
  </si>
  <si>
    <t>Embedded machine learning moves inference from cloud services to resource-constrained devices that must acquire data, preprocess signals, run a model, and act within tight limits on memory, energy, and latency. This paper presents a systems-oriented synthesis of an embedded machine-learning workflow for microcontroller-class platforms. The emphasis is placed on engineering decisions that are often hidden in generic machine-learning introductions: sampling and buffering, feature extraction as dimensionality reduction, validation under class imbalance, model/runtime co-design, and streaming deployment. Two representative signal families are used throughout the paper. The first is inertial motion recognition, where a two-second, three-axis accelerometer window is transformed from raw samples into root-mean-square and spectral features before classification. The second is keyword spotting, where audio is sampled, anti-aliased, transformed into mel-frequency cepstral coefficients, and processed by a compact one-dimensional convolutional network. The paper concludes with practical design rules for robust on-device inference, including data curation, quantization, thresholding, scheduling, and field monitoring.</t>
  </si>
  <si>
    <t>Batch 3 — exhaustive full-text extraction completed</t>
  </si>
  <si>
    <t>Full-text PDF supplied by user; pp. 1–6</t>
  </si>
  <si>
    <t>Fully autonomous on-device Z-Score anomaly detection using appliance power side-channel data</t>
  </si>
  <si>
    <t>Performs feature learning, statistical baseline construction, anomaly inference, watchdog logic, and local logging entirely on an STM32 MCU without cloud connectivity</t>
  </si>
  <si>
    <t>Fourteen-day continuous mini-fridge deployment; more than 40,000 RMS records logged every 30 s; controlled thermostat, door-open, and power-interruption anomalies</t>
  </si>
  <si>
    <t>Each RMS record is computed from 1,000 ADC current samples. Five per-cycle features feed an incremental statistical baseline; the anomaly score is the mean absolute Z-Score across features, with threshold 2.5 and an OFF-duration watchdog.</t>
  </si>
  <si>
    <t>Physical field deployment with controlled anomaly induction</t>
  </si>
  <si>
    <t>Event-level Precision, Recall, and F1 were reported as 1.00; inference required approximately 20–40 µs, while the complete firmware occupied approximately 3.3 KB SRAM and 63 KB Flash.</t>
  </si>
  <si>
    <t>Single appliance and controlled fault scenarios; no statistical generalization, independent replication, energy measurement, or public artifacts</t>
  </si>
  <si>
    <t>Smart-home appliance monitoring / embedded anomaly detection</t>
  </si>
  <si>
    <t>Unsupervised statistical anomaly detection of mini-fridge operating cycles</t>
  </si>
  <si>
    <t>Current/power side-channel time series and cycle-level statistical features</t>
  </si>
  <si>
    <t>Locally collected ACS712 current measurements from one household mini-fridge during a 14-day deployment</t>
  </si>
  <si>
    <t>&gt;40,000 RMS records logged at 30 s intervals; number of compressor cycles NR; controlled anomalies include thermostat adjustment, two door-open events, and a power disruption</t>
  </si>
  <si>
    <t>On-device initial normal-operation training followed by continuous field monitoring and controlled anomaly induction; event-level detection assessment</t>
  </si>
  <si>
    <t>12-bit ADC sampling; 1,000 current samples per RMS estimate; five cycle features: RMS current, mean RMS, RMS standard deviation, RMS slope, and compressor ON duration</t>
  </si>
  <si>
    <t>Statistical Z-Score detector with watchdog rule</t>
  </si>
  <si>
    <t>Ten retained baseline statistics (mean and standard deviation for five features); composite score = average absolute feature Z-Scores; threshold = 2.5</t>
  </si>
  <si>
    <t>NA — lightweight statistical model; 10 learned statistics plus threshold/watchdog logic</t>
  </si>
  <si>
    <t>NR — numerical representation is not specified</t>
  </si>
  <si>
    <t>Initial on-device incremental statistical training; fixed on-device inference during monitoring</t>
  </si>
  <si>
    <t>Incremental mean/variance estimation, fixed-size buffers, feature aggregation, interpretable thresholding, and connectivity-free execution</t>
  </si>
  <si>
    <t>On-device training and runtime</t>
  </si>
  <si>
    <t>STM32 NUCLEO-F446RE with ACS712 current sensor, MicroSD module, and RTC</t>
  </si>
  <si>
    <t>STM32F446RE Arm Cortex-M4 MCU; no dedicated AI accelerator</t>
  </si>
  <si>
    <t>Platform capacity NR; final firmware uses approximately 3.3 KB SRAM</t>
  </si>
  <si>
    <t>Platform capacity NR; firmware uses approximately 63 KB Flash; MicroSD used for logging</t>
  </si>
  <si>
    <t>ACS712 Hall-effect current sensor; RTC and MicroSD; embedded firmware environment, OS NR</t>
  </si>
  <si>
    <t>Low-cost standalone operation with limited SRAM/Flash and no external computation or connectivity</t>
  </si>
  <si>
    <t>Custom STM32 embedded firmware; no ML runtime required</t>
  </si>
  <si>
    <t>Custom lightweight arithmetic and logging pipeline; optimized-kernel library NA</t>
  </si>
  <si>
    <t>Fixed-size ADC buffer and constant-size statistical state</t>
  </si>
  <si>
    <t>5 — Field deployment</t>
  </si>
  <si>
    <t>Household mini-fridge monitored continuously for 14 days under normal operation and controlled anomaly conditions</t>
  </si>
  <si>
    <t>Yes — STM32 NUCLEO-F446RE, ACS712, RTC, and MicroSD</t>
  </si>
  <si>
    <t>One appliance and one 14-day deployment; no confidence intervals or repeated independent deployments</t>
  </si>
  <si>
    <t>Approximately 20–40 µs per anomaly inference; RMS record logged every 30 s</t>
  </si>
  <si>
    <t>Event-level Precision = 1.00; Recall = 1.00; F1 = 1.00; no false positives reported during stable cycles</t>
  </si>
  <si>
    <t>Approximately 20–40 µs per inference</t>
  </si>
  <si>
    <t>One logged RMS record every 30 s; raw ADC acquisition uses 1,000 samples per RMS value</t>
  </si>
  <si>
    <t>Approximately 3.3 KB SRAM for the complete firmware</t>
  </si>
  <si>
    <t>Approximately 63 KB Flash for the complete firmware</t>
  </si>
  <si>
    <t>Fully autonomous local training/inference; MicroSD logging did not reportedly interfere with continuous operation</t>
  </si>
  <si>
    <t>Partial: hardware, feature construction, detector equations, threshold, deployment duration, faults, and resource footprint are described; dataset, code, firmware, build configuration, and raw logs are not publicly identified.</t>
  </si>
  <si>
    <t>Perfect event-level metrics arise from one appliance and a small set of controlled anomalies. Normality assumptions and robustness across appliances/environments are not demonstrated.</t>
  </si>
  <si>
    <t>Architecture and hardware pp. 2–4; validation and resource results p. 5; limitations/conclusion pp. 5–6</t>
  </si>
  <si>
    <t>Use as field proof-of-concept evidence, not as population-level generalization. Retain the distinction between statistical TinyML and learned neural models.</t>
  </si>
  <si>
    <t>Complete — batch 3</t>
  </si>
  <si>
    <t>This paper presents a fully autonomous Tiny Machine Learning (TinyML) Z-Score-based anomaly detection system deployed on a low-power microcontroller for real-time monitoring of appliance behavior using power side-channel data. Unlike existing Internet of Things (IoT) anomaly detection approaches that rely on offline training or cloud-assisted analytics, the proposed system performs both model training and inference directly on a resource-constrained microcontroller without external computation or connectivity. The system continuously samples current consumption, computes Root Mean Square (RMS) values on-device, and derives statistical parameters during an initial training phase. Anomalies are detected using lightweight Z-Score thresholds, enabling interpretable and computationally efficient inference suitable for embedded deployment. The architecture was implemented on an STM32-based platform and evaluated using a 14-day dataset collected from a household mini-fridge under normal operation and controlled anomaly conditions. Results demonstrate perfect detection performance, with Precision and Recall of 1.00, inference latencies on the order of tens of microseconds, and a total memory footprint of approximately 3.3 KB SRAM and 63 KB Flash. These results confirm that robust and fully autonomous TinyML anomaly detection can be achieved on low-cost microcontrollers. Future work includes extending the framework to incorporate additional lightweight models and multi-device learning scenarios.</t>
  </si>
  <si>
    <t>Manuscript Table 3 + analysis package abstract; full-text PDF could not be obtained</t>
  </si>
  <si>
    <t>Multimodal large model optimization on Qualcomm NPU</t>
  </si>
  <si>
    <t>Efficient inference acceleration via QNN framework and compression techniques</t>
  </si>
  <si>
    <t>Multimodal large models (VLM) on Qualcomm platforms</t>
  </si>
  <si>
    <t>Quantization, pruning, knowledge distillation, low-rank factorization, Lookahead decoding</t>
  </si>
  <si>
    <t>NV — abstract reports experimental improvement but gives no verifiable setup or numerical values</t>
  </si>
  <si>
    <t>Significantly improved response speed and decoding efficiency of multimodal models</t>
  </si>
  <si>
    <t>Full text unavailable; hardware model, VLM architecture, datasets, protocols, exact latency/throughput values, memory, energy, and reproducibility artifacts cannot be verified</t>
  </si>
  <si>
    <t>On-device multimodal / vision-language model inference</t>
  </si>
  <si>
    <t>Multimodal model inference and decoding acceleration</t>
  </si>
  <si>
    <t>Multimodal inputs; exact datasets/modalities NR in the abstract</t>
  </si>
  <si>
    <t>NR in available abstract</t>
  </si>
  <si>
    <t>NV — abstract-only claim of experimental improvement</t>
  </si>
  <si>
    <t>Multimodal large model / vision-language model</t>
  </si>
  <si>
    <t>Quantization is reported; exact precision NR</t>
  </si>
  <si>
    <t>Offline optimization and on-device inference; details NR</t>
  </si>
  <si>
    <t>Quantization, pruning, knowledge distillation, low-rank factorization, and Lookahead decoding</t>
  </si>
  <si>
    <t>Model adaptation, compression, and decoding/runtime optimization</t>
  </si>
  <si>
    <t>NPU / mobile SoC</t>
  </si>
  <si>
    <t>Qualcomm platform; exact SoC/device NR</t>
  </si>
  <si>
    <t>Qualcomm NPU; exact accelerator NR</t>
  </si>
  <si>
    <t>On-device response time, decoding speed, memory, and compute constraints are stated qualitatively</t>
  </si>
  <si>
    <t>Qualcomm Neural Network (QNN) framework</t>
  </si>
  <si>
    <t>QNN; versions/build options NR</t>
  </si>
  <si>
    <t>NV — abstract-only claim</t>
  </si>
  <si>
    <t>NV — Qualcomm NPU adaptation is claimed but the device/setup cannot be verified</t>
  </si>
  <si>
    <t>Improved first-response time and decoding speed are claimed; exact values NR</t>
  </si>
  <si>
    <t>Improvement claimed; exact latency NR</t>
  </si>
  <si>
    <t>Decoding-speed improvement claimed; exact throughput NR</t>
  </si>
  <si>
    <t>Abstract-only: no dataset, code, model artifact, hardware configuration, build options, measurement protocol, or repository can be assessed.</t>
  </si>
  <si>
    <t>The inaccessible full text prevents exhaustive extraction. A26 must be excluded from all full-text and measured-performance denominators.</t>
  </si>
  <si>
    <t>Available abstract retained in the analysis package</t>
  </si>
  <si>
    <t>Low</t>
  </si>
  <si>
    <t>Keep as thematic evidence for NPU-assisted Edge GenAI only. Do not use its performance claims quantitatively.</t>
  </si>
  <si>
    <t>In the rapid development of artificial intelligence, multimodal large models (VLM) have led a new wave of technological progress with their revolutionary breakthroughs in the field of natural language processing (NLP). In the wave of artificial intelligence, on-device multimodal large models (On-Device VLM) are becoming the new favourites of technological innovation with their rapid development speed and broad application prospects, and the demand for on-device inference is growing. This study conducts in-depth adaptation and optimization of multimodal large models on the Neural Network Processing Unit (NPU) based on the Qualcomm platform. By adopting the QNN (Qualcomm Neural Network) framework and model compression techniques such as quantization, pruning, knowledge distillation, low-rank factorization, and Lookahead decoding, efficient inference acceleration on Qualcomm NPU is achieved, significantly improving the model’s response speed and decoding efficiency. Experimental results show that the optimized model has significant improvements in first response time and decoding speed, providing a new solution for on-device AI applications.</t>
  </si>
  <si>
    <t>Full-text PDF supplied by user; pp. 4–25</t>
  </si>
  <si>
    <t>Quantization-aware 1D CNN layers with automated high-throughput FPGA implementation</t>
  </si>
  <si>
    <t>Arbitrary-precision convolution, dense, and requantization layers jointly evaluated for peak detection and synthesized into a parallel FPGA architecture</t>
  </si>
  <si>
    <t>100,000 synthetic 1024-pixel 1D signals plus real 2048×1024 industrial laser-line images</t>
  </si>
  <si>
    <t>Sliding 16-pixel input batches are classified into three peak-position classes. The CNN is pruned to 6 and 3 kernels and converted to 8-bit, 4-bit, or binary layer configurations; a C++ generator produces VHDL.</t>
  </si>
  <si>
    <t>Physical FPGA implementation and controlled real-image evaluation</t>
  </si>
  <si>
    <t>A 4-bit 16-frame design achieved 246 MHz, zero DSP use, 4 Gpixel/s-class processing, 2.05 W, and approximately 0.5 TOPS/W, with modest predictive degradation relative to Float32.</t>
  </si>
  <si>
    <t>Synthetic training predominates; industrial real-image ground truth is unavailable; source data and generator code are not public.</t>
  </si>
  <si>
    <t>Industrial machine vision / laser-line peak detection</t>
  </si>
  <si>
    <t>Three-class local peak detection and subpixel line localization</t>
  </si>
  <si>
    <t>One-dimensional intensity profiles and grayscale camera images</t>
  </si>
  <si>
    <t>Synthetic signal generator (100,000 samples) and proprietary industrial camera images</t>
  </si>
  <si>
    <t>100,000 synthetic samples, 70/30 train/test; peak test uses 30,000 samples; real-image count NR</t>
  </si>
  <si>
    <t>Synthetic hold-out test, 30,000-sample peak-position test, real-image line-fit comparison, and FPGA synthesis/bitstream implementation</t>
  </si>
  <si>
    <t>Sliding 16-pixel windows; synthetic noise/pattern generation; line fitting for real-image evaluation</t>
  </si>
  <si>
    <t>One-dimensional convolutional neural network</t>
  </si>
  <si>
    <t>Two convolutional layers pruned to 6 and 3 kernels, max pooling, and final three-class dense/softmax output; 142 trainable parameters and 1,248 multiplications in reference network</t>
  </si>
  <si>
    <t>142 trainable parameters; 1,248 multiplications per reference inference; architecture-level operation metrics also reported</t>
  </si>
  <si>
    <t>Float32 baseline; custom 8-bit, 4-bit, and binary/quantized variants</t>
  </si>
  <si>
    <t>Offline supervised quantization-aware training; FPGA inference</t>
  </si>
  <si>
    <t>Structured channel pruning, quantization-aware training, arbitrary precision, binarized layers, parallel-frame processing</t>
  </si>
  <si>
    <t>Training, model conversion, code generation, and hardware synthesis</t>
  </si>
  <si>
    <t>FPGA / heterogeneous SoC</t>
  </si>
  <si>
    <t>Xilinx Zynq UltraScale+ MPSoC ZU9EG on ZCU102</t>
  </si>
  <si>
    <t>Programmable logic only; ARM processing system not used</t>
  </si>
  <si>
    <t>246 MHz achieved for the highlighted 4-bit 16-frame design (250 MHz target)</t>
  </si>
  <si>
    <t>External RAM feeds internal BRAM; total platform memory not used as comparison metric</t>
  </si>
  <si>
    <t>NA for FPGA bitstream/model storage comparison</t>
  </si>
  <si>
    <t>Industrial grayscale camera (2048×1024) and blue laser; Ubuntu 20.04 used for synthesis workstation</t>
  </si>
  <si>
    <t>4 Gpixel/s target, 16-frame parallelism, no DSP use in highlighted reduced-precision configuration</t>
  </si>
  <si>
    <t>Custom FPGA dataflow; no conventional embedded ML runtime</t>
  </si>
  <si>
    <t>Custom C++-to-VHDL generator; Xilinx Vivado 2020.2, non-project mode, Ubuntu 20.04</t>
  </si>
  <si>
    <t>Approximately 10,000 lines of C++ automatically generate VHDL from network specifications</t>
  </si>
  <si>
    <t>Inputs/outputs in internal BRAM with continuous transfer from external RAM</t>
  </si>
  <si>
    <t>Synthesized ZCU102 FPGA prototype and controlled real-camera imagery</t>
  </si>
  <si>
    <t>Yes — ZCU102 / ZU9EG FPGA</t>
  </si>
  <si>
    <t>Predictive tests report mean±SD for position/RMS errors; hardware synthesis repetitions NR</t>
  </si>
  <si>
    <t>Designed for 4 Gpixel/s industrial acquisition; highlighted design reached 246 MHz</t>
  </si>
  <si>
    <t>Float32 accuracy 0.9749; custom 8-bit 0.9437; custom 4-bit 0.9429. Peak test: Float32 0.938 accuracy/0.210±0.446 px MAE; 8-bit 0.937/0.348±0.566; 4-bit 0.914/0.436±0.607.</t>
  </si>
  <si>
    <t>Per-inference latency NR; streaming architecture characterized by clock and pixel throughput</t>
  </si>
  <si>
    <t>Approximately 4 Gpixel/s target; highlighted configuration 246 MHz, ideal 1.14 TOPS</t>
  </si>
  <si>
    <t>NA; FPGA resource utilization reported instead</t>
  </si>
  <si>
    <t>NA; 142-parameter reference network; FPGA logic resources reported</t>
  </si>
  <si>
    <t>2.05 W for highlighted 4-bit 16-frame design; approximately 0.5 TOPS/W sustained efficiency</t>
  </si>
  <si>
    <t>6,118 CLBs (17.86%), 31,669 LUTs (11.55%), 15,474 registers (2.82%), 0 DSPs for highlighted design</t>
  </si>
  <si>
    <t>Partial: architecture, data generation, toolchain version, and synthesis settings are detailed; industrial data are available only on request and code/HDL generator/model artifacts are not publicly identified.</t>
  </si>
  <si>
    <t>No ground truth for real industrial imagery; comparison mixes synthetic classification and geometric line-fit metrics.</t>
  </si>
  <si>
    <t>Dataset/model pp.5–10; quantization results pp.12–18; FPGA architecture and implementation pp.18–24; data availability p.25</t>
  </si>
  <si>
    <t>System-level FPGA evidence is measured/synthesized on the physical target; predictive and hardware metrics remain task-specific.</t>
  </si>
  <si>
    <t>Over the past few years, several applications have been extensively exploiting the advantages of deep learning, in particular when using convolutional neural networks (CNNs). The intrinsic flexibility of such models makes them widely adopted in a variety of practical applications, from medical to industrial. In this latter scenario, however, using consumer Personal Computer (PC) hardware is not always suitable for the potential harsh conditions of the working environment and the strict timing that industrial applications typically have. Therefore, the design of custom FPGA (Field Programmable Gate Array) solutions for network inference is gaining massive attention from researchers and companies as well. In this paper, we propose a family of network architectures composed of three kinds of custom layers working with integer arithmetic with a customizable precision (down to just two bits). Such layers are designed to be effectively trained on classical GPUs (Graphics Processing Units) and then synthesized to FPGA hardware for real-time inference. The idea is to provide a trainable quantization layer, called Requantizer, acting both as a non-linear activation for neurons and a value rescaler to match the desired bit precision. This way, the training is not only quantization-aware, but also capable of estimating the optimal scaling coefficients to accommodate both the non-linear nature of the activations and the constraints imposed by the limited precision. In the experimental section, we test the performance of this kind of model while working both on classical PC hardware and a case-study implementation of a signal peak detection device running on a real FPGA. We employ TensorFlow Lite for training and comparison, and use Xilinx FPGAs and Vivado for synthesis and implementation. The results show an accuracy of the quantized networks close to the floating point version, without the need for representative data for calibration as in other approaches, and performance that is better than dedicated peak detection algorithms. The FPGA implementation is able to run in real time at a rate of four gigapixels per second with moderate hardware resources, while achieving a sustained efficiency of 0.5 TOPS/W (tera operations per second per watt), in line with custom integrated hardware accelerators.</t>
  </si>
  <si>
    <t>Full-text PDF supplied by user; pp. 1–14</t>
  </si>
  <si>
    <t>Cross-platform optimization and benchmarking of lightweight CNNs for heterogeneous embedded AI hardware</t>
  </si>
  <si>
    <t>Applies quantization, pruning, and mixed precision to MobileNetV3 and a custom TinyML CNN, then compares model size, accuracy, latency, throughput, memory, and reported power across CPU, GPU, TPU, and MCU targets</t>
  </si>
  <si>
    <t>Public 10-class ImageNet subset (~10,000 images), 80:20 split; physical/platform benchmark claims for Raspberry Pi 4, Jetson Nano, Coral Edge TPU, and an unspecified STM32 MCU</t>
  </si>
  <si>
    <t>Offline CNN training followed by model compression and target-specific deployment through TensorFlow Lite, TensorRT/CUDA, Edge TPU tooling, and TensorFlow Lite Micro; inference results averaged over five runs</t>
  </si>
  <si>
    <t>Controlled cross-platform benchmarking; measurement details are incomplete</t>
  </si>
  <si>
    <t>The paper reports lower size, latency, memory, and power after combined optimization; custom TinyML CNN latency is reported as 30/15/5/10 ms on CPU/GPU/TPU/MCU, respectively, while combined optimization is reported at 72–74% accuracy and 0.9–1.5 MB.</t>
  </si>
  <si>
    <t>Exact STM32 model, clocking, memory configuration, power instruments, benchmark boundaries, per-platform software settings, and uncertainty are not fully specified</t>
  </si>
  <si>
    <t>Cross-platform embedded image classification</t>
  </si>
  <si>
    <t>Ten-class image classification</t>
  </si>
  <si>
    <t>RGB images</t>
  </si>
  <si>
    <t>Public ImageNet subset with 10 categories and approximately 1,000 images per class</t>
  </si>
  <si>
    <t>Approximately 10,000 images; 80% training and 20% testing</t>
  </si>
  <si>
    <t>Common dataset/model pipeline benchmarked across four hardware classes; inference values reported as averages of five runs</t>
  </si>
  <si>
    <t>Resize to 224×224, normalization, and random horizontal flipping</t>
  </si>
  <si>
    <t>MobileNetV3 (variant NR) and custom TinyML CNN with three 3×3 convolutional blocks, batch normalization/ReLU, two max-pooling layers, and a softmax classifier</t>
  </si>
  <si>
    <t>Custom TinyML CNN approximately 0.45 M parameters; MobileNetV3 parameter/MAC count NR</t>
  </si>
  <si>
    <t>FP32 baseline plus quantized and mixed-precision variants; exact quantization bit width NR</t>
  </si>
  <si>
    <t>Offline supervised training; on-device/platform inference</t>
  </si>
  <si>
    <t>Quantization, pruning, mixed precision, and target-specific runtime acceleration</t>
  </si>
  <si>
    <t>Post-training/model conversion and platform deployment</t>
  </si>
  <si>
    <t>Heterogeneous SBC/GPU/TPU/MCU</t>
  </si>
  <si>
    <t>Raspberry Pi 4 Model B (4 GB), NVIDIA Jetson Nano, Google Coral Edge TPU, and STM32 MCU (exact model NR)</t>
  </si>
  <si>
    <t>Arm CPU; 128-core Maxwell GPU; Edge TPU; STM32 MCU CPU</t>
  </si>
  <si>
    <t>Raspberry Pi: 4 GB; other platform capacities NR</t>
  </si>
  <si>
    <t>No sensor pipeline; platform OS/software images NR</t>
  </si>
  <si>
    <t>Latency, memory, model size, and power across heterogeneous edge targets</t>
  </si>
  <si>
    <t>TensorFlow Lite 2.12; TensorRT/CUDA; Coral/Edge TPU tooling; TensorFlow Lite Micro</t>
  </si>
  <si>
    <t>Platform-specific TensorFlow/TensorRT/CUDA/vendor SDK flows; exact versions beyond TFLite 2.12 are incomplete</t>
  </si>
  <si>
    <t>Target runtime conversion and acceleration; exact kernel/operator mapping NR</t>
  </si>
  <si>
    <t>4 — Controlled laboratory benchmark</t>
  </si>
  <si>
    <t>Cross-platform inference benchmark under stated consistent experimental conditions; exact setup is incompletely documented</t>
  </si>
  <si>
    <t>Reported yes — Raspberry Pi 4, Jetson Nano, Coral Edge TPU, and STM32 MCU; exact STM32 target NR</t>
  </si>
  <si>
    <t>Five inference runs are reported; dispersion/uncertainty NR</t>
  </si>
  <si>
    <t>Inference latencies of 5–120 ms are reported depending on model/platform; no application deadline</t>
  </si>
  <si>
    <t>Baseline: MobileNetV3 75.2%, custom TinyML CNN 68.5%. Combined optimization: 72–74% reported.</t>
  </si>
  <si>
    <t>MobileNetV3: CPU 120 ms, GPU 45 ms, TPU 12 ms, MCU 60 ms. TinyML CNN: CPU 30 ms, GPU 15 ms, TPU 5 ms, MCU 10 ms. Combined configuration also reported at 25 ms CPU / 12 ms MCU.</t>
  </si>
  <si>
    <t>MobileNetV3 20 FPS; custom TinyML CNN 65 FPS</t>
  </si>
  <si>
    <t>MobileNetV3 180 MB; custom TinyML CNN 40 MB (platform/measurement boundary not clearly identified)</t>
  </si>
  <si>
    <t>Baseline MobileNetV3 12.1 MB and TinyML CNN 2.3 MB; optimized values approximately 3.8 MB and 0.9 MB; combined range 0.9–1.5 MB</t>
  </si>
  <si>
    <t>Reported power: baseline 5.0 W; quantized 2.1 W; pruned 1.8 W; combined 1.2 W. Measurement uses onboard monitoring utilities; instrument and boundary details NR.</t>
  </si>
  <si>
    <t>Reported combined optimization reduces memory and computational load while preserving 72–74% accuracy</t>
  </si>
  <si>
    <t>Partial: dataset family, architectures, training settings, platforms, runtimes, and aggregate tables are given; exact subset indices, code, models, firmware, STM32 target, instrumentation, build configurations, and raw results are not public.</t>
  </si>
  <si>
    <t>Aggregate rounded values and incomplete per-platform configurations limit independent reproduction and cross-device comparison. Power values must be treated as reported rather than metrologically verified.</t>
  </si>
  <si>
    <t>Methods and platforms pp. 6–8; Tables 2–6 and results pp. 9–11; limitations p. 12</t>
  </si>
  <si>
    <t>Medium</t>
  </si>
  <si>
    <t>Retain the physical benchmark claim but flag incomplete hardware and measurement specification. Avoid ranking against instrumented studies.</t>
  </si>
  <si>
    <t>ABSTRACT The rapid growth of artificial intelligence (AI) has accelerated its integration into embedded systems, enabling real‐time intelligence at the edge with reduced latency, improved privacy, and lower power consumption. This paradigm, known as Embedded AI, deploys machine learning and deep learning models directly on resource‐constrained platforms such as microcontrollers, FPGAs, and system‐on‐chip devices. This study presents a structured optimization and benchmarking framework for lightweight neural networks targeting heterogeneous embedded hardware platforms, including CPU, GPU, TPU, and MCU architectures. Model compression techniques such as quantization, pruning, and mixed‐precision computation are applied to reduce memory footprint and computational complexity while preserving classification accuracy. Performance evaluation is conducted using inference latency, model size, and power consumption as benchmarking metrics under consistent experimental conditions. Results demonstrate that optimized lightweight models significantly improve computational efficiency and energy performance across edge deployment platforms. The proposed framework provides practical guidance for selecting suitable neural network configurations for real‐time embedded AI applications.</t>
  </si>
  <si>
    <t>Full-text PDF supplied by user; pp. 1–28</t>
  </si>
  <si>
    <t>TinyML regression with sensor-data fusion for real-time UAV LiPo battery remaining-useful-life estimation</t>
  </si>
  <si>
    <t>Deploys an INT8 feedforward regression model on an RP2040-based Raspberry Pi Pico W, integrating battery-gauge measurements, BLE communication, and LabVIEW monitoring during UAV operation</t>
  </si>
  <si>
    <t>Public LiPo aging dataset from two batteries and 424 cycles, plus a physical UAV experiment using an 80 g platform, a 1100 mAh battery, and 30 real-time prediction points</t>
  </si>
  <si>
    <t>Three selected battery-health features feed a 3-20-10-1 FFNN trained through Edge Impulse; the model is quantized and compiled with EON, deployed as an Arduino library, and connected to a BQ27441 gauge and LabVIEW dashboard</t>
  </si>
  <si>
    <t>Physical UAV/embedded demonstration plus offline dataset evaluation; deployment metrics are Edge Impulse profiler outputs</t>
  </si>
  <si>
    <t>Offline testing reports 98.82% 'accuracy', MSE 55.68, MAE 5.38, and variance score 0.99. The 30-point real-time experiment reports MAE 3.46 cycles, RMSE 3.75, R² 0.9977, and average error 0.80 cycles.</t>
  </si>
  <si>
    <t>Only two batteries and 30 real-time points; validated voltage range is narrow; regression 'accuracy' is not defined; latency/RAM/Flash are profiler-derived and energy is not measured</t>
  </si>
  <si>
    <t>UAV battery prognostics and health management</t>
  </si>
  <si>
    <t>Remaining-useful-life regression in charge/discharge cycles</t>
  </si>
  <si>
    <t>Battery voltage, discharge-time, decrement-time, and capacity measurements</t>
  </si>
  <si>
    <t>Public LiPo aging dataset from Galeotti et al.; real-time BQ27441 measurements during UAV operation</t>
  </si>
  <si>
    <t>Two batteries; 424 charge-discharge cycles in the source dataset; 30 real-time UAV prediction points</t>
  </si>
  <si>
    <t>Offline training/testing plus physical in-flight/real-time demonstration; 20% validation is reported and a 20% model-testing set is referenced, but exact split relationships are not fully clear</t>
  </si>
  <si>
    <t>Feature selection to discharge time, voltage decrement time from 3.6 to 3.4 V, and capacity; real-time measurements are fused before inference</t>
  </si>
  <si>
    <t>Feedforward neural network regression</t>
  </si>
  <si>
    <t>3 inputs → Dense 20 ReLU → Dense 10 ReLU → single RUL output</t>
  </si>
  <si>
    <t>FP32 and post-training INT8 deployment variants</t>
  </si>
  <si>
    <t>INT8 quantization, EON compilation, compact feature set, and embedded sensor-data fusion</t>
  </si>
  <si>
    <t>Post-training conversion and firmware integration</t>
  </si>
  <si>
    <t>MCU / UAV embedded platform</t>
  </si>
  <si>
    <t>Raspberry Pi Pico W with RP2040; BQ27441 Battery Babysitter; BLE-linked LabVIEW system; 80 g UAV with 1100 mAh LiPo battery</t>
  </si>
  <si>
    <t>Dual-core Arm Cortex-M0+ RP2040; no dedicated accelerator</t>
  </si>
  <si>
    <t>Platform capacity NR in the study; deployment profiler reports 1.2 KB model RAM</t>
  </si>
  <si>
    <t>Platform capacity NR in the study; deployment profiler reports 10.7–11.0 KB model Flash</t>
  </si>
  <si>
    <t>BQ27441 battery fuel gauge; BLE; Arduino-compatible firmware and LabVIEW host</t>
  </si>
  <si>
    <t>Low-memory MCU, low-latency inference, UAV payload/energy constraints, and real-time wireless monitoring</t>
  </si>
  <si>
    <t>Edge Impulse; EON Compiler; Arduino library; LabVIEW</t>
  </si>
  <si>
    <t>Edge Impulse deployment pipeline and Arduino integration; exact versions/build options NR</t>
  </si>
  <si>
    <t>EON-generated embedded inference library</t>
  </si>
  <si>
    <t>Profiler-reported static model footprint; allocation details NR</t>
  </si>
  <si>
    <t>5 — Operational physical demonstration</t>
  </si>
  <si>
    <t>Physical UAV battery monitoring with wireless telemetry, complemented by offline benchmark testing</t>
  </si>
  <si>
    <t>Yes — Raspberry Pi Pico W/RP2040, BQ27441 gauge, BLE/LabVIEW, UAV and LiPo battery</t>
  </si>
  <si>
    <t>Two batteries and 30 real-time points; no repeated independent flight campaigns or confidence intervals</t>
  </si>
  <si>
    <t>INT8 inference estimated at 2 ms; serial/communication loop includes 1 s buffer operations</t>
  </si>
  <si>
    <t>Model testing: 98.82% reported 'accuracy', MSE 55.68, MAE 5.38, variance score 0.99. Real-time: MAE 3.46 cycles, RMSE 3.75 cycles, R² 0.9977, average error 0.80 cycles.</t>
  </si>
  <si>
    <t>Edge Impulse profiler: INT8 2 ms; FP32 10 ms</t>
  </si>
  <si>
    <t>1.2 KB for INT8 and FP32 models (Edge Impulse profiler)</t>
  </si>
  <si>
    <t>INT8 11.0 KB Flash; FP32 10.7 KB Flash (Edge Impulse profiler)</t>
  </si>
  <si>
    <t>Real-time results reported only for voltage range 2.70–2.799 V</t>
  </si>
  <si>
    <t>Partial: public source dataset, features, model topology, hardware, and deployment flow are described; processed data are available on request, while code, trained/deployed models, firmware, exact split indices, and raw UAV traces are not public.</t>
  </si>
  <si>
    <t>Separate physically observed predictive results from Edge Impulse resource estimates. The term 'accuracy' is undefined for regression, and the real-time evidence is limited to two batteries, 30 points, and a narrow voltage interval.</t>
  </si>
  <si>
    <t>Dataset/features pp. 4–11; hardware and deployment pp. 12–19; model/resource results pp. 18–21; real-time validation and limitations pp. 21–25</t>
  </si>
  <si>
    <t>High/Medium</t>
  </si>
  <si>
    <t>Physical deployment is confirmed. Treat latency/RAM/Flash as profiler-derived, not independently instrumented measurements.</t>
  </si>
  <si>
    <t>The accurate real-time estimation of the remaining useful life (RUL) of lithium-polymer (LiPo) batteries is a critical enabler for ensuring the safety, reliability, and operational efficiency of unmanned aerial vehicles (UAVs). Nevertheless, achieving such prognostics on resource-constrained embedded platforms remains a considerable technical challenge. This study proposes an end-to-end TinyML-based framework that integrates embedded sensor data fusion with an optimized feedforward neural network (FFNN) model for efficient RUL estimation under strict hardware limitations. The system collects voltage, discharge time, and capacity measurements through a lightweight data fusion pipeline and leverages the Edge Impulse platform with the EONTMCompiler for model optimization. The trained model is deployed on a dual-core ARM Cortex-M0+ Raspberry Pi RP2040 microcontroller, communicating wirelessly with a LabVIEW-based visualization system for real-time monitoring. Experimental validation on an 80-gram UAV equipped with a 1100 mAh LiPo battery demonstrates a mean absolute error (MAE) of 3.46 cycles and a root mean squared error (RMSE) of 3.75 cycles. Model testing results show an overall accuracy of 98.82%, with a mean squared error (MSE) of 55.68, a mean absolute error (MAE) of 5.38, and a variance score of 0.99, indicating strong regression precision and robustness. Furthermore, the quantized (int8) version of the model achieves an inference latency of 2 ms, with memory utilization of only 1.2 KB RAM and 11 KB flash, confirming its suitability for real-time deployment on resource-constrained embedded devices. Overall, the proposed framework effectively demonstrates the feasibility of combining embedded sensor data fusion and TinyML to enable accurate, low-latency, and resource-efficient real-time RUL estimation for UAV battery health management.</t>
  </si>
  <si>
    <t>Full-text PDF supplied by user; pp. 2–8</t>
  </si>
  <si>
    <t>Metrologically improved energy-measurement protocol for MLPerf Tiny inference on edge devices</t>
  </si>
  <si>
    <t>Inference-status signaling and synchronized time-window measurement isolate inference energy and reduce uncertainty relative to the MLPerf Tiny power benchmark procedure</t>
  </si>
  <si>
    <t>Four MLPerf Tiny workloads—visual wake words, image classification, keyword spotting, and anomaly detection—executed on two MCUs and one NPU-enabled SoC</t>
  </si>
  <si>
    <t>Firmware exposes inference boundaries; a control/recording measurement unit synchronizes Nordic PPKII acquisition. Each experiment covers 100 sequential inferences without concurrent tasks.</t>
  </si>
  <si>
    <t>Controlled laboratory metrology on physical devices</t>
  </si>
  <si>
    <t>The protocol reduced measurement uncertainty by factors of approximately 6 on RV1106 and 12 on STM32H7/U5 and reported workload-specific duration and energy values.</t>
  </si>
  <si>
    <t>Study-specific firmware and raw measurements are not publicly identified; results depend on benchmark versions, board states, and measurement boundaries.</t>
  </si>
  <si>
    <t>Embedded-AI benchmarking / energy metrology</t>
  </si>
  <si>
    <t>Measurement of inference duration and energy</t>
  </si>
  <si>
    <t>Electrical power/current traces and timing signals</t>
  </si>
  <si>
    <t>MLPerf Tiny benchmark workloads and models</t>
  </si>
  <si>
    <t>100 inferences per measurement; 30 CRMU query experiments per board for timing characterization</t>
  </si>
  <si>
    <t>Comparative measurement of MLPerf Tiny protocol versus proposed synchronized inference-window protocol on three boards</t>
  </si>
  <si>
    <t>Baseline/pre-inference exclusion and time-window synchronization; no ML-data preprocessing contribution</t>
  </si>
  <si>
    <t>Four benchmark model families from MLPerf Tiny</t>
  </si>
  <si>
    <t>External benchmark architectures; not redesigned by the study</t>
  </si>
  <si>
    <t>NR in the article’s main comparison</t>
  </si>
  <si>
    <t>Target-dependent benchmark deployment; exact precision per workload NR in extracted evidence</t>
  </si>
  <si>
    <t>Pretrained benchmark inference only</t>
  </si>
  <si>
    <t>Measurement-window isolation rather than model optimization</t>
  </si>
  <si>
    <t>Firmware instrumentation and experimental measurement</t>
  </si>
  <si>
    <t>MCU and NPU-enabled embedded SoC</t>
  </si>
  <si>
    <t>Nucleo STM32H7; B-U585I-IOT02A STM32U5; Luckfox Pico Pro Max RV1106</t>
  </si>
  <si>
    <t>STM32H7 at 280 MHz; STM32U5 at 160 MHz; Rockchip RV1106 at 1.2 GHz with dedicated NPU</t>
  </si>
  <si>
    <t>280 MHz; 160 MHz; 1,200 MHz</t>
  </si>
  <si>
    <t>Platform specifications not central to reported results</t>
  </si>
  <si>
    <t>STM32 targets without OS; RV1106 with Ubuntu 22.04 real-time environment</t>
  </si>
  <si>
    <t>Low-power inference and accurate separation of inference energy from board overhead</t>
  </si>
  <si>
    <t>ST Edge AI Core Technology on STM32; RKNN Toolkit on RV1106; MLPerf Tiny workloads</t>
  </si>
  <si>
    <t>STM32CubeIDE for STM32; RKNN Toolkit/Ubuntu 22.04 for RV1106</t>
  </si>
  <si>
    <t>Vendor deployment toolchains; inference-status firmware modification</t>
  </si>
  <si>
    <t>Bench measurements with Nordic Power Profiler Kit II and synchronized digital/timing acquisition</t>
  </si>
  <si>
    <t>Yes — three physical boards</t>
  </si>
  <si>
    <t>100 inferences per measurement; 30 timing-query experiments; PPKII uncertainty &lt;2% in stated temperature range; type-B counting uncertainty 289 ns</t>
  </si>
  <si>
    <t>Not a real-time application claim; inference durations measured per workload/device</t>
  </si>
  <si>
    <t>NA — benchmark accuracy is not the study outcome</t>
  </si>
  <si>
    <t>RV1106: 0.820±0.006, 0.415±0.012, 0.400±0.008, 0.558±0.033 ms; STM32H7: 29.656±0.003, 49.941±0.001, 14.860±0.001, 1.690±0.002 ms; STM32U5: 78.447±0.002, 133.280±0.002, 48.060±0.001, 4.910±0.002 ms (VWW, IC, KWS, AD).</t>
  </si>
  <si>
    <t>Proposed protocol energy (µJ, VWW/IC/KWS/AD): RV1106 380±13/193±15/165±9/222±11; STM32H7 4386±88/7536±151/2202±44/236±6; STM32U5 2362±47/3249±65/1184±27/116±3.</t>
  </si>
  <si>
    <t>Uncertainty reduction approximately ×6 for RV1106 and ×12 for STM32H7/U5; CRMU query latency reported in the nanosecond range</t>
  </si>
  <si>
    <t>Partial: devices, instruments, toolchains, firmware logic, sample counts, and uncertainty treatment are detailed; raw data and modified firmware/repository are not public and data are available on request.</t>
  </si>
  <si>
    <t>Results should not be compared with energy figures measured under different board baselines or inference windows.</t>
  </si>
  <si>
    <t>Platforms/toolchains pp.2–3; setup and protocol pp.3–5; duration/energy Tables 3–6 pp.5–8</t>
  </si>
  <si>
    <t>Strong pilot case for separating measured inference energy from whole-system or pre-inference consumption.</t>
  </si>
  <si>
    <t>This manuscript proposes a new method to improve the MLCommons protocol for measuring power consumption on Microcontroller Units (MCUs) when running edge Artificial Intelligence (AI). In particular, the proposed approach (i) selectively measures the power consumption attributable to the inferences (namely, the predictions performed by Artificial Neural Networks — ANN), preventing the impact of other operations, (ii) accurately identifies the time window for acquiring the sample of the current thanks to the simultaneous measurement of power consumption and inference duration, and (iii) precisely synchronize the measurement windows and the inferences. The method is validated on three use cases: (i) Rockchip RV1106, a neural MCU that implements ANN via hardware neural processing unit through a dedicated accelerator, (ii) STM32 H7, and (iii) STM32 U5, high-performance and ultra-low-power general-purpose microcontroller, respectively. The proposed method returns higher power consumption for the two devices with respect to the MLCommons approach. This result is compatible with an improvement of selectivity and accuracy. Furthermore, the method reduces measurement uncertainty on the Rockchip RV1106 and STM32 boards by factors of 6 and 12, respectively.</t>
  </si>
  <si>
    <t>Batch 3 — exhaustive full-text extraction completed; low-confidence evidence</t>
  </si>
  <si>
    <t>Full-text PDF supplied by user; pp. 67–75</t>
  </si>
  <si>
    <t>Compression, privacy, and cross-hardware evaluation framed as TinyML deployment of small language models</t>
  </si>
  <si>
    <t>Combines pruning, quantization, knowledge distillation, local differential privacy, and security mechanisms across four compact architectures</t>
  </si>
  <si>
    <t>Tables report task accuracies, model sizes, RAM, latency, and privacy overhead for MobileNetV2, EfficientNet-B0, Mamba, and SqueezeNet, but datasets and experimental protocols are not identified</t>
  </si>
  <si>
    <t>The paper describes structured/unstructured pruning, PTQ/QAT, DistilGPT-based knowledge distillation, Laplace/Gaussian noise injection, AES-256/TrustZone, TFLM, Apache TVM, and CMSIS-NN</t>
  </si>
  <si>
    <t>NV — benchmark claims are insufficiently specified and internally inconsistent</t>
  </si>
  <si>
    <t>Tables report 82.3–89.5% aggregate accuracy, 2.1–4.1 MB model size, 19–31 ms latency, and 720–960 KB RAM, with separate STM32F746 timings of 64–102 ms.</t>
  </si>
  <si>
    <t>Datasets, splits, training settings, model parameterization, measurement boundaries, and artifact availability are missing; reported RAM exceeds the stated STM32F746 capacity, and abstract claims are not substantiated transparently</t>
  </si>
  <si>
    <t>On-device text, keyword, and sentiment inference with privacy mechanisms</t>
  </si>
  <si>
    <t>Text classification, keyword spotting, and sentiment detection</t>
  </si>
  <si>
    <t>Text/audio tasks are named, but exact inputs and datasets are NR</t>
  </si>
  <si>
    <t>Cross-task and cross-hardware tables are presented without dataset, split, repetition, or instrumentation details</t>
  </si>
  <si>
    <t>On-device Laplace/Gaussian noise injection is described; tokenization/audio preprocessing NR</t>
  </si>
  <si>
    <t>Compact CNNs and state-space model, framed as small language models</t>
  </si>
  <si>
    <t>MobileNetV2, EfficientNet-B0, Mamba, and SqueezeNet; exact adapted task heads and parameter counts NR</t>
  </si>
  <si>
    <t>FP32 baseline and quantized variants; PTQ/QAT described, but exact bit widths and sparse-ternary implementation details are incomplete</t>
  </si>
  <si>
    <t>Offline training/fine-tuning; on-device inference; federated fine-tuning is described at a high level</t>
  </si>
  <si>
    <t>Structured/unstructured pruning, PTQ/QAT, knowledge distillation, claimed sparse ternary quantization, differential-noise injection, and security isolation</t>
  </si>
  <si>
    <t>Training, post-training, and runtime preprocessing</t>
  </si>
  <si>
    <t>SBC and MCU (claimed)</t>
  </si>
  <si>
    <t>Raspberry Pi 4B and STM32F746G-DISCO; abstract also names ESP32 without corresponding full-text evaluation</t>
  </si>
  <si>
    <t>Arm Cortex-A72 and Cortex-M7; no dedicated accelerator identified</t>
  </si>
  <si>
    <t>Raspberry Pi 4B: 4 GB; STM32F746G-DISCO: 320 KB stated. Reported 720–960 KB RAM table is incompatible with the STM32 capacity.</t>
  </si>
  <si>
    <t>STM32F746G-DISCO: 1 MB Flash stated; platform/model placement details NR</t>
  </si>
  <si>
    <t>Memory, latency, energy, privacy, and secure execution</t>
  </si>
  <si>
    <t>TensorFlow Lite Micro, Apache TVM, and CMSIS-NN</t>
  </si>
  <si>
    <t>Frameworks named; versions, compiler flags, and build configurations NR</t>
  </si>
  <si>
    <t>CMSIS-NN and TVM acceleration are discussed; exact generated artifacts NR</t>
  </si>
  <si>
    <t>NV — insufficiently specified benchmark</t>
  </si>
  <si>
    <t>Claimed Raspberry Pi and STM32 evaluation; exact test setup, datasets, and measurement method NR</t>
  </si>
  <si>
    <t>Claimed — Raspberry Pi 4B and STM32F746G-DISCO; evidence is insufficient for robust measured-hardware coding</t>
  </si>
  <si>
    <t>Reported latency 19–31 ms on one table and 64–102 ms on STM32; no deadline</t>
  </si>
  <si>
    <t>Aggregate table: 87.2% MobileNetV2, 85.6% EfficientNet, 89.5% Mamba, 82.3% SqueezeNet. Per-task accuracies range 76.4–91.6%.</t>
  </si>
  <si>
    <t>Aggregate table: 21/28/31/19 ms. STM32 table: 78/97/102/64 ms for MobileNetV2/EfficientNet/Mamba/SqueezeNet.</t>
  </si>
  <si>
    <t>780/850/960/720 KB reported, but incompatible with the stated 320 KB STM32 RAM if interpreted as MCU footprints</t>
  </si>
  <si>
    <t>2.8/3.2/4.1/2.1 MB for MobileNetV2/EfficientNet/Mamba/SqueezeNet</t>
  </si>
  <si>
    <t>Not profiled</t>
  </si>
  <si>
    <t>Reported local differential-privacy overhead: 9.5%, 10.8%, 12.4%, and 7.8%</t>
  </si>
  <si>
    <t>Not reported: datasets, preprocessing, training code, models, firmware, build settings, measurement protocol, raw results, and repository are absent.</t>
  </si>
  <si>
    <t>The 'small language model' framing is not reconciled with CNN architectures and unspecified NLP/audio pipelines. Hardware-memory contradictions and unsupported abstract claims prevent quantitative reliance.</t>
  </si>
  <si>
    <t>Methods/platform descriptions pp. 69–71; Tables 3–5 and discussion pp. 71–73; conclusion/limitations pp. 73–74</t>
  </si>
  <si>
    <t>Do not treat the abstract's 5.8× compression, 256 KB RAM, ESP32 evaluation, or 4.3× latency claim as verified. Exclude A31 from robust empirical denominators.</t>
  </si>
  <si>
    <t>Complete — batch 3; evidence restricted</t>
  </si>
  <si>
    <t>Deploying small language models (SLMs) on ultra-low-power edge devices requires careful optimization to meet strict memory, latency, and energy constraints while preserving privacy. This paper presents a systematic approach to adapting SLMs for Tiny ML, focusing on model compression, hardware-aware quantization, and lightweight privacy mechanisms. We introduce a sparse ternary quantization technique that reduces model size by 5.8× with minimal accuracy loss and an efficient federated fine-tuning method for edge deployment. To address privacy concerns, we implement on-device differential noise injection during text preprocessing, adding negligible computational overhead. Evaluations on constrained devices (Cortex-M7 and ESP32) show our optimized models achieve 92% of the accuracy of full-precision baselines while operating within 256KB RAM and reducing inference latency by 4.3×. The proposed techniques enable new applications for SLMs in always-on edge scenarios where both efficiency and data protection are critical.</t>
  </si>
  <si>
    <t>Full-text PDF supplied by user; pp. 1–13</t>
  </si>
  <si>
    <t>Memory-aware neural architecture search and quantization for spiking neural networks</t>
  </si>
  <si>
    <t>Searches SNN architectures under explicit parameter-count budgets, improves search efficiency, applies post-training quantization, and evaluates search energy on workstation and embedded GPU platforms</t>
  </si>
  <si>
    <t>CIFAR-10, CIFAR-100, and TinyImageNet-200; architecture search/training on NVIDIA RTX A6000 and energy/search evaluation on RTX A6000 and Jetson AGX Orin</t>
  </si>
  <si>
    <t>SpikeNAS analyzes operations, modifies SNN topology, performs a fast memory-aware search, trains with surrogate gradients through SpikingJelly, and quantizes the selected network</t>
  </si>
  <si>
    <t>Controlled hardware/software benchmark; no MCU or neuromorphic-chip deployment</t>
  </si>
  <si>
    <t>Memory-aware selected models report 92.02%, 68.41%, and 72.00% accuracy while meeting 1.2 M, 2 M, and 4 M parameter budgets; search is 29×, 117×, and 3.7× faster than the comparison configuration.</t>
  </si>
  <si>
    <t>Memory constraints are represented by parameter counts rather than measured device memory; energy is estimated from runtime and platform power; no embedded MCU/neuromorphic deployment or public implementation is identified</t>
  </si>
  <si>
    <t>Embedded image classification with spiking neural networks</t>
  </si>
  <si>
    <t>Image classification and memory-constrained neural architecture search</t>
  </si>
  <si>
    <t>Images</t>
  </si>
  <si>
    <t>CIFAR-10, CIFAR-100, and TinyImageNet-200</t>
  </si>
  <si>
    <t>Standard public dataset sizes; exact train/validation splits follow benchmark datasets but are not re-enumerated in the extraction</t>
  </si>
  <si>
    <t>Comparison with SNASNet and architecture variants under three parameter budgets; search/training experiments on RTX A6000 and energy/search tests on RTX A6000 and Jetson AGX Orin</t>
  </si>
  <si>
    <t>Dataset-standard image processing; exact augmentation settings are described in implementation details but not central to deployment evidence</t>
  </si>
  <si>
    <t>Spiking neural network</t>
  </si>
  <si>
    <t>SpikeNAS-searched combinations of convolutional and operation blocks; selected memory-aware 2C2O/2C3O variants</t>
  </si>
  <si>
    <t>Selected memory-aware models: 1.04 M (CIFAR-10), 1.77 M (CIFAR-100), and 3.98 M (TinyImageNet-200)</t>
  </si>
  <si>
    <t>Full precision plus post-training quantization; ≥10-bit retained accuracy for CIFAR-10/100 and ≥8-bit for TinyImageNet-200</t>
  </si>
  <si>
    <t>Offline NAS and supervised SNN training; inference evaluation</t>
  </si>
  <si>
    <t>Memory-aware NAS, topology/operator analysis, fast search, and post-training quantization</t>
  </si>
  <si>
    <t>Architecture search, training, and post-training quantization</t>
  </si>
  <si>
    <t>GPU workstation and embedded GPU platform</t>
  </si>
  <si>
    <t>NVIDIA RTX A6000 (48 GB) and NVIDIA Jetson AGX Orin</t>
  </si>
  <si>
    <t>NVIDIA GPUs</t>
  </si>
  <si>
    <t>RTX A6000: 48 GB GPU memory; Jetson memory capacity NR in the paper's experimental description</t>
  </si>
  <si>
    <t>Python/SpikingJelly software environment; OS NR</t>
  </si>
  <si>
    <t>Target memory budgets are encoded as parameter-count limits of 1.2 M, 2 M, and 4 M</t>
  </si>
  <si>
    <t>Python and SpikingJelly</t>
  </si>
  <si>
    <t>Python-based SNN training/search stack; exact versions/build options NR</t>
  </si>
  <si>
    <t>Parameter-budget constraint; actual runtime activation/peak-memory allocation NR</t>
  </si>
  <si>
    <t>4 — Controlled hardware benchmark</t>
  </si>
  <si>
    <t>Laboratory GPU/embedded-GPU search and training benchmark</t>
  </si>
  <si>
    <t>Yes — NVIDIA RTX A6000 and Jetson AGX Orin; no MCU or neuromorphic accelerator</t>
  </si>
  <si>
    <t>Multiple architecture/search comparisons are reported; statistical uncertainty/repeated seeds are not consistently reported</t>
  </si>
  <si>
    <t>No real-time application deadline; emphasis is architecture-search speed</t>
  </si>
  <si>
    <t>Memory-aware models: CIFAR-10 92.02%; CIFAR-100 68.41%; TinyImageNet-200 72.00%. Additional unconstrained variants are also reported.</t>
  </si>
  <si>
    <t>Absolute inference latency NR; architecture-search acceleration reported relative to baselines</t>
  </si>
  <si>
    <t>Search speedups include 29×, 117×, and 3.7× for the selected memory-aware cases; broader ranges are also reported</t>
  </si>
  <si>
    <t>Actual peak RAM NR; parameter-count budgets used as memory proxies</t>
  </si>
  <si>
    <t>1.04 M, 1.77 M, and 3.98 M parameters; quantization reduces estimated memory by 75%, 79%, and 63%, respectively, relative to comparison networks</t>
  </si>
  <si>
    <t>Estimated search-energy reductions from elapsed time × platform power; reductions span approximately 49–99% on Jetson and 33.07–99.86% on RTX across evaluated cases</t>
  </si>
  <si>
    <t>Search acceleration varies by dataset/architecture; selected examples are 29×, 117×, and 3.7×</t>
  </si>
  <si>
    <t>Partial: public datasets, algorithms, parameter budgets, hardware, and SpikingJelly framework are described; code, searched models, exact environment versions, raw timings/power traces, and repository are not identified.</t>
  </si>
  <si>
    <t>Do not equate parameter count with measured on-device RAM, or estimated search energy with inference energy. The work targets embedded AI conceptually but validates on GPU platforms.</t>
  </si>
  <si>
    <t>Framework and search method pp. 3–6; implementation pp. 7–8; accuracy/memory/quantization Table III and results pp. 8–10; hardware/energy results pp. 10–11</t>
  </si>
  <si>
    <t>Include in NAS/quantization analysis and separate architecture-search energy from deployed inference energy.</t>
  </si>
  <si>
    <t>Embedded AI systems are expected to incur low power/energy consumption for solving machine learning tasks, as these systems are usually power constrained (e.g., object recognition task in autonomous mobile agents with portable batteries). These requirements can be fulfilled by Spiking Neural Networks (SNNs), since their bio-inspired spike-based operations offer high accuracy and ultra low-power/energy computation. Currently, most of SNN architectures are derived from Artificial Neural Networks whose neurons' architectures and operations are different from SNNs, and/or developed without considering memory budgets from the underlying processing hardware of embedded platforms. These limitations hinder SNNs from reaching their full potential in accuracy and efficiency. Toward this, we propose SpikeNAS, a novel fast memory-aware neural architecture search (NAS) framework for SNNs that quickly finds an appropriate SNN architecture with high accuracy under the given memory budgets from targeted embedded systems. To do this, our SpikeNAS employs several key steps: analyzing the impacts of network operations on the accuracy, enhancing the network architecture to improve the learning quality, developing a fast memory-aware search algorithm, and performing quantization. The experimental results show that our SpikeNAS improves the searching time and maintains high accuracy compared to state-of-the-art while meeting the given memory budgets (e.g., 29x, 117x, and 3.7x faster search for CIFAR10, CIFAR100, and TinyImageNet200 respectively, using an Nvidia RTX A6000 GPU machine), thereby quickly providing the appropriate SNN architecture for the memory-constrained embedded AI systems.</t>
  </si>
  <si>
    <t>Batch 3 — exhaustive full-text review completed; non-empirical source</t>
  </si>
  <si>
    <t>Full-text PDF supplied by user; pp. 1–8</t>
  </si>
  <si>
    <t>Brief review of AI compilation and hardware-software co-design for constrained edge inference</t>
  </si>
  <si>
    <t>Synthesizes graph optimization, operator fusion, memory-aware inference, hardware-specific code generation, accelerator mapping, latency prediction, and runtime optimization</t>
  </si>
  <si>
    <t>Narrative review and two representative technique tables; no original dataset, model, hardware implementation, or experiment</t>
  </si>
  <si>
    <t>Conceptual synthesis of compiler stacks and hardware-software co-design examples, including TensorIR, ROLLER, AOT/microTVM, MATCH, NAAS, TENET, SECDA, TFLM, MCUNetV2, and nn-Meter</t>
  </si>
  <si>
    <t>0 — Review/conceptual; no original validation</t>
  </si>
  <si>
    <t>Argues that efficient Edge AI requires cross-layer optimization spanning model compression, compiler transformations, memory planning, code generation, and accelerator-aware mapping.</t>
  </si>
  <si>
    <t>Brief narrative review without systematic search protocol, quality appraisal, quantitative synthesis, or original empirical validation</t>
  </si>
  <si>
    <t>Edge AI compilers and hardware-software co-design</t>
  </si>
  <si>
    <t>Conceptual review / taxonomy</t>
  </si>
  <si>
    <t>Published literature cited narratively</t>
  </si>
  <si>
    <t>NA — no original empirical study</t>
  </si>
  <si>
    <t>Multiple DNN/Edge AI model families discussed</t>
  </si>
  <si>
    <t>Multiple compiler and co-design examples; no single evaluated model</t>
  </si>
  <si>
    <t>Quantization and mixed precision are discussed; no original implementation</t>
  </si>
  <si>
    <t>Graph optimization, operator fusion, quantization, memory-aware inference, code generation, accelerator mapping, latency prediction, and runtime optimization</t>
  </si>
  <si>
    <t>Compilation and hardware-software co-design</t>
  </si>
  <si>
    <t>MCU and accelerator classes discussed narratively</t>
  </si>
  <si>
    <t>No original target; examples include microTVM/TFLM and specialized accelerator frameworks</t>
  </si>
  <si>
    <t>NA — review source</t>
  </si>
  <si>
    <t>Limited compute, memory, energy, and portability</t>
  </si>
  <si>
    <t>TensorIR, ROLLER, AOT/microTVM, MATCH, TFLM, and other reviewed systems</t>
  </si>
  <si>
    <t>Multiple published toolchains reviewed; no original build</t>
  </si>
  <si>
    <t>Memory-aware inference discussed conceptually</t>
  </si>
  <si>
    <t>0 — Review / conceptual</t>
  </si>
  <si>
    <t>No — no original experiment</t>
  </si>
  <si>
    <t>NA — representative literature claims only</t>
  </si>
  <si>
    <t>NA for original artifacts. As a review, it does not report a systematic search strategy, inclusion criteria, extraction protocol, or reproducible evidence table.</t>
  </si>
  <si>
    <t>Use only as conceptual/compiler background. Exclude from all empirical performance and validation denominators.</t>
  </si>
  <si>
    <t>Scope and methods pp. 1–3; compiler/co-design discussion and Tables 1–2 pp. 3–7</t>
  </si>
  <si>
    <t>Non-empirical review source; appropriate for Sections 2.4–2.5, not Table 3 performance aggregation.</t>
  </si>
  <si>
    <t>Complete — batch 3; non-empirical</t>
  </si>
  <si>
    <t>Edge artificial intelligence (Edge AI) has emerged as a promising solution to provide real-time and privacy-aware intelligent services at proximity to data sources. However, it is difficult to implement deep learning on edge devices with limited resources, such as microcontrollers, embedded devices, and IoT terminals with low power consumption, because they have limited computing power, memory capacity, and energy supply. This paper introduces a concise overview on AI compilation and hardware co-design methodologies for efficient inference execution on resource-constrained edge devices. This paper provides an overview of the key challenges in deploying deep learning models on resource-constrained devices and presents illustrative solutions in terms of compression techniques and hardware implementation. The discussion includes graph optimization, operator fusion, quantization, memory-aware inference, hardware-specific code generation, accelerator-based inference, latency prediction, and runtime optimization. The reviewed work suggests that high-performance efficient edge AI requires cross-layer rather than isolated model-level compression. AI compilation enables more efficient execution by converting neural networks to optimized hardware-aware code, and hardware- co-design further improves latency, memory, and energy efficiency. These results imply that next-generation edge AI systems should focus on portable compiler toolchains, memory-aware optimization, energy-aware design, and standardized benchmarking methodologies.</t>
  </si>
  <si>
    <t>Batch 3 — exhaustive full-text extraction completed; evidence restricted</t>
  </si>
  <si>
    <t>Claimed TinyML hardware-software co-design for ECG/HRV-based cardiac drug-response monitoring</t>
  </si>
  <si>
    <t>Describes feature extraction, lightweight model candidates, INT8 quantization, pruning, and claimed constrained-device evaluation for cardiac drug-response assessment</t>
  </si>
  <si>
    <t>The text refers to ECG/HRV recordings from people receiving beta-blocker or anti-arrhythmic therapy, but gives no dataset source, participant count, demographics, ethics identifier, split details, exact device, or instrumentation</t>
  </si>
  <si>
    <t>ECG/HRV features are supplied to shallow FCNN, compact CNN, and decision-tree candidates; quantization, pruning, feature reduction, and explored knowledge distillation are described</t>
  </si>
  <si>
    <t>NV — quantitative claims are present, but clinical and hardware validation cannot be independently reconstructed</t>
  </si>
  <si>
    <t>The optimized model is variously reported at 93.9–94.1% accuracy, 92.4–92.5% sensitivity, 14–&lt;15 ms latency, 18 KB SRAM, 52 KB Flash, 0.40–0.42 mJ/inference, and 6.5–6.8 mA.</t>
  </si>
  <si>
    <t>Dataset, sample size, ethics, exact hardware, model architecture, runtime, instrumentation, repetitions, statistical outputs, and artifacts are not reported; multiple quantitative values conflict across tables/text</t>
  </si>
  <si>
    <t>Cardiac drug-response and physiological monitoring</t>
  </si>
  <si>
    <t>Classification/assessment of cardiac response and adverse-event risk; exact label definition NR</t>
  </si>
  <si>
    <t>ECG and heart-rate-variability signals</t>
  </si>
  <si>
    <t>NR — patient recordings are described without a named dataset or acquisition cohort</t>
  </si>
  <si>
    <t>Cross-subject validation and statistical testing are claimed, but folds, participants, repetitions, confidence intervals, and results are not documented</t>
  </si>
  <si>
    <t>ECG/HRV processing with mean RR, RMSSD, QRS duration, QT interval, PR interval, and LF/HF features; filtering/window details incomplete</t>
  </si>
  <si>
    <t>Shallow FCNN, compact CNN, and decision tree</t>
  </si>
  <si>
    <t>Final selected model architecture and parameter count NR</t>
  </si>
  <si>
    <t>FP32 baseline and INT8 optimized model</t>
  </si>
  <si>
    <t>Offline supervised training; claimed on-device inference</t>
  </si>
  <si>
    <t>INT8 quantization, structured pruning, feature reduction, and exploratory knowledge distillation</t>
  </si>
  <si>
    <t>Training/post-training and deployment</t>
  </si>
  <si>
    <t>Wearable/resource-constrained MCU (claimed)</t>
  </si>
  <si>
    <t>Exact microcontroller, board, ECG front end, and measurement equipment NR</t>
  </si>
  <si>
    <t>Platform capacity NR; optimized model reported at 18 KB SRAM</t>
  </si>
  <si>
    <t>Platform capacity NR; optimized model reported at 52 KB Flash</t>
  </si>
  <si>
    <t>Single- or three-lead ECG at 250–500 Hz is described; exact sensor/instrument and OS NR</t>
  </si>
  <si>
    <t>Low memory, latency, power, and privacy for wearable/implantable monitoring</t>
  </si>
  <si>
    <t>NV — insufficiently specified claimed laboratory study</t>
  </si>
  <si>
    <t>Claimed constrained-hardware and clinical-signal evaluation; exact setup NR</t>
  </si>
  <si>
    <t>Claimed, but exact device and measurement evidence are NR</t>
  </si>
  <si>
    <t>Paired tests/confidence intervals are mentioned, but sample counts and numerical statistical outputs are NR</t>
  </si>
  <si>
    <t>14 ms / &lt;15 ms latency claimed; no acquisition deadline or end-to-end timing boundary</t>
  </si>
  <si>
    <t>Table/text values conflict: accuracy 93.9% versus 94.1%; sensitivity 92.5% versus 92.4%; specificity 95.1% reported later</t>
  </si>
  <si>
    <t>14 ms in one table; &lt;15 ms in results text</t>
  </si>
  <si>
    <t>18 KB reported for quantized+pruned model</t>
  </si>
  <si>
    <t>52 KB Flash reported for quantized+pruned model; baseline 220 KB and INT8 78 KB</t>
  </si>
  <si>
    <t>0.42 versus 0.40 mJ/inference; 6.8 versus 6.5 mA reported in different sections</t>
  </si>
  <si>
    <t>Robustness above 91% under moderate noise and ≤5% degradation under severe artifacts is claimed without protocol detail; cloud comparison reports 185 ms and 0.62 mJ</t>
  </si>
  <si>
    <t>Not reported: dataset, participant/acquisition record, code, model, firmware, device, toolchain, measurement protocol, raw data, repository, and ethics documentation are absent.</t>
  </si>
  <si>
    <t>Severe underreporting and internal numerical inconsistencies make the implementation and clinical claims non-verifiable. Exclude A34 from robust empirical denominators.</t>
  </si>
  <si>
    <t>Data/features and model description pp. 2–4; resource/performance Table 1 and system metrics Table 2 pp. 3–5; conflicting results and robustness claims pp. 5–6</t>
  </si>
  <si>
    <t>Use only as low-confidence thematic evidence. Do not present its metrics as verified hardware or clinical results.</t>
  </si>
  <si>
    <t>The increasing prevalence of cardiovascular diseases necessitates continuous monitoring systems that can support effective cardiac drug therapy with minimal latency and power consumption. Conventional cloud-based health monitoring solutions suffer from limitations such as high energy usage, communication delays, and privacy concerns. To address these challenges, this research proposes an edge-based Tiny Machine Learning (TinyML) framework for realtime cardiac drug response monitoring using embedded hardware software co-design. The proposed system integrates physiological signal acquisition, particularly electrocardiogram (ECG) and heart rate variability (HRV), with lightweight machine learning models deployed on resource-constrained microcontroller platforms. TinyML models are trained to analyze cardiac patterns and assess physiological responses associated with commonly prescribed cardiac drugs such as beta-blockers and anti-arrhythmic agents. Model optimization techniques, including quantization, pruning, and feature reduction, are employed to ensure a low memory footprint and energy efficiency suitable for wearable and implantable devices. The research emphasizes on-device inference, eliminating dependency on continuous cloud connectivity while preserving data privacy and enabling real-time decision support. Performance evaluation is conducted in terms of accuracy, latency, power consumption, and robustness under constrained hardware conditions. The outcome of this work aims to establish a scalable and energy-efficient TinyML architecture that can assist clinicians in personalized cardiac drug management and early detection of adverse cardiac events.</t>
  </si>
  <si>
    <t>Batch 4 — exhaustive full-text extraction completed</t>
  </si>
  <si>
    <t>Full-text PDF supplied by user; pp. 1–20</t>
  </si>
  <si>
    <t>Simulation-trained, explainable traffic-congestion forecasting with a distilled TinyML deployment</t>
  </si>
  <si>
    <t>Combines calibrated SUMO traffic simulation, GradientBoostingRegressor forecasting, lightweight global XAI, knowledge distillation, INT8 conversion, and physical ESP32 inference benchmarking</t>
  </si>
  <si>
    <t>30,000 SUMO-generated samples from 30 scenarios and eight Casablanca road segments; 24,000 training and 6,000 temporally separated test samples; physical ESP32-WROOM-32 inference benchmark</t>
  </si>
  <si>
    <t>Twenty engineered temporal, lag, infrastructure, rolling, and cultural features feed a 100-tree GradientBoostingRegressor. Its predictions train a 20-32-16-1 neural proxy, which is converted to INT8 TFLite Micro for ESP32 deployment.</t>
  </si>
  <si>
    <t>Simulation-based predictive validation plus controlled physical-device inference benchmark</t>
  </si>
  <si>
    <t>The original model reports R²=0.9939, MAE=0.015, and RMSE=0.019. The deployed TFLite proxy reports R²=0.9884, 76 KB model size, 43 KB RAM, and 2.1±0.08 ms inference on ESP32.</t>
  </si>
  <si>
    <t>Traffic data are entirely simulated; the ESP32 benchmark does not validate a real roadside sensing system; power is datasheet-derived rather than directly measured</t>
  </si>
  <si>
    <t>Urban traffic forecasting and intelligent transportation systems</t>
  </si>
  <si>
    <t>Continuous congestion-index regression / forecasting</t>
  </si>
  <si>
    <t>Structured simulated traffic time series and road-infrastructure variables</t>
  </si>
  <si>
    <t>SUMO simulation of Casablanca traffic, calibrated using traffic-volume, speed, and travel-time criteria</t>
  </si>
  <si>
    <t>30,000 rows; 30 independent scenario-days; eight road segments; 50 random seeds per scenario reported</t>
  </si>
  <si>
    <t>Scenario-day temporal split: scenarios 1–24 for training and 25–30 for testing; Bayesian hyperparameter optimization with 5-fold CV on training; 10 permutation repetitions; 1000 ESP32 inference runs</t>
  </si>
  <si>
    <t>One-second simulation outputs aggregated into five-minute intervals; 20 features including cyclical time encodings, lag-1 values, rolling statistics, road capacity/type, Friday prayer, and Ramadan indicators</t>
  </si>
  <si>
    <t>Gradient-boosted decision-tree regressor plus compact neural distillation proxy</t>
  </si>
  <si>
    <t>GradientBoostingRegressor: 100 estimators, learning rate 0.1, max depth 5, min split 20, min leaf 10, subsample 0.8. Proxy: Dense 32 ReLU → Dense 16 ReLU → Dense 1 sigmoid</t>
  </si>
  <si>
    <t>Neural proxy: 1201 trainable parameters; original tree-ensemble parameter count/MACs NA</t>
  </si>
  <si>
    <t>Original model FP32; distilled proxy converted to INT8 TFLite</t>
  </si>
  <si>
    <t>Offline supervised training and knowledge distillation; on-device inference</t>
  </si>
  <si>
    <t>Knowledge distillation, compact neural proxy, INT8 quantization, TFLite conversion, and lightweight XAI selection</t>
  </si>
  <si>
    <t>Model conversion/post-training deployment</t>
  </si>
  <si>
    <t>ESP32-WROOM-32</t>
  </si>
  <si>
    <t>Xtensa LX6, 240 MHz; no dedicated accelerator reported</t>
  </si>
  <si>
    <t>240 MHz</t>
  </si>
  <si>
    <t>520 KB SRAM</t>
  </si>
  <si>
    <t>Platform Flash capacity NR; deployed model size 76 KB</t>
  </si>
  <si>
    <t>No physical traffic sensor integrated; TFLite Micro embedded environment</t>
  </si>
  <si>
    <t>Low-cost roadside inference, low latency, limited RAM, and intermittent infrastructure connectivity</t>
  </si>
  <si>
    <t>scikit-learn, Keras/TensorFlow, TensorFlow Lite Micro v2.14</t>
  </si>
  <si>
    <t>Python/scikit-optimize and TensorFlow/TFLite conversion; embedded build options NR</t>
  </si>
  <si>
    <t>TFLite Micro INT8 model deployment; kernel configuration NR</t>
  </si>
  <si>
    <t>43 KB reported RAM usage; allocation breakdown NR</t>
  </si>
  <si>
    <t>4 — Controlled laboratory device benchmark</t>
  </si>
  <si>
    <t>SUMO/desktop model development with physical ESP32 inference timing; no real traffic-sensor field deployment</t>
  </si>
  <si>
    <t>Yes — ESP32-WROOM-32 for model inference only</t>
  </si>
  <si>
    <t>ESP32 latency averaged over 1000 inferences, SD ±0.08 ms; TFLite R² has 95% block-bootstrap CI [0.9871, 0.9896]</t>
  </si>
  <si>
    <t>2.1 ms inference; target traffic updates are five-minute intervals</t>
  </si>
  <si>
    <t>Original GB: R²=0.9939, MAE=0.015, RMSE=0.019. TFLite against labels: R²=0.9884, MAE=0.019, RMSE=0.025.</t>
  </si>
  <si>
    <t>ESP32: 2.1±0.08 ms; original sklearn baseline: estimated 50 ms</t>
  </si>
  <si>
    <t>NR; 1000 inference timing average reported</t>
  </si>
  <si>
    <t>43 KB for deployed TFLite proxy; original cloud model comparison reports 150 MB</t>
  </si>
  <si>
    <t>76 KB TFLite proxy versus 2.4 MB original model (31× reduction)</t>
  </si>
  <si>
    <t>ESP32 power reported as 0.9 mW from datasheet-derived estimate; 600 mW cloud baseline is estimated. Direct current measurement was not performed.</t>
  </si>
  <si>
    <t>Model fidelity to GB predictions r²=0.994; native/permutation importance correlation r=0.89</t>
  </si>
  <si>
    <t>Partial: simulation design, feature pipeline, model settings, split, and deployment metrics are detailed. SUMO files, Colab code, and dataset are available only upon request; no public persistent repository is identified.</t>
  </si>
  <si>
    <t>Do not describe the system as field validated. Energy reduction is an estimate comparing different execution boundaries, not a direct metrological comparison.</t>
  </si>
  <si>
    <t>Data and split pp. 6–9; model/XAI/deployment pp. 8–11; results and Table 8 pp. 12–15; limitations and availability pp. 16–18</t>
  </si>
  <si>
    <t>Physical ESP32 timing is valid laboratory evidence. Predictive validity remains simulation-bound and power is estimated.</t>
  </si>
  <si>
    <t>Complete — batch 4</t>
  </si>
  <si>
    <t>Traffic congestion in urban areas poses substantial challenges to transportation management, urban planning, and environmental sustainability. This study introduces an explainable artificial intelligence (XAI) framework for predicting traffic congestion in Casablanca, Morocco, by integrating gradient boosting models with lightweight XAI techniques that are suitable for edge deployment. Employing SUMO-simulated traffic data comprising 30,000 data points across 30 scenarios, we implemented a GradientBoostingRegressor (scikit-learn) enhanced with native feature importance analysis, permutation importance, and partial dependence plots, achieving R2=0.9939, MAE = 0.015, and RMSE = 0.019. The XAI analysis reveals that lag features (32.0%), temporal patterns (35.0%), and infrastructure features (15.0%) are the primary contributors to congestion prediction, with culturally relevant factors, such as Friday prayers, accounting for 8.7% of the total feature importance. The model was deployed through a knowledge-distillation TinyML pipeline, achieving 31× compression (2.4 MB → 76 KB) on ESP32 microcontrollers with 2.1 ms inference latency and a 667× reduction in per-inference energy consumption compared to cloud-based deployment. This lightweight XAI approach directly addresses the gap between interpretability requirements and edge deployment constraints, facilitating sustainable intelligent transportation systems in developing countries with limited infrastructure and energy resources. The proposed framework is transferable to other rapidly urbanizing cities in the Global South, offering a replicable template for data-driven interpretable traffic management that can directly inform infrastructure investment prioritization, adaptive signal-control policy design, and culturally aware urban mobility planning strategies.</t>
  </si>
  <si>
    <t>Batch 4 — exhaustive full-text extraction completed; evidence restricted</t>
  </si>
  <si>
    <t>Full-text PDF supplied by user; pp. 26–33</t>
  </si>
  <si>
    <t>Reconfigurable fixed-point FPGA accelerator architecture for CNN inference</t>
  </si>
  <si>
    <t>Proposes parallel processing elements, on-chip data reuse, configurable dataflow, fixed-point arithmetic, and hardware-software partitioning for Edge-AI acceleration</t>
  </si>
  <si>
    <t>Generic simulated CNN inference workloads and a table of claimed accelerator metrics; the network, FPGA board, clock, HDL, toolchain, datasets, and measurement setup are not identified</t>
  </si>
  <si>
    <t>Conceptual RTL/HDL workflow maps convolutional and fully connected operations to a reconfigurable PE array with local buffers and an embedded-processor control interface</t>
  </si>
  <si>
    <t>NV — insufficiently specified claimed FPGA benchmark</t>
  </si>
  <si>
    <t>The article reports 420 mW power, 12.6 ms inference latency, 58.3 GOPS, 138.8 GOPS/W, 31% LUT, 28% flip-flop, 46% DSP, and 34% BRAM utilization.</t>
  </si>
  <si>
    <t>No target FPGA, clock, model, dataset, numerical precision, toolchain, baseline table, repetitions, instrumentation, or raw synthesis report is provided</t>
  </si>
  <si>
    <t>Generic Edge-AI CNN acceleration</t>
  </si>
  <si>
    <t>CNN inference acceleration</t>
  </si>
  <si>
    <t>Claimed target-FPGA evaluation under common operating conditions; experimental configuration is not reconstructable</t>
  </si>
  <si>
    <t>NA/NR</t>
  </si>
  <si>
    <t>CNN and fully connected neural-network workloads</t>
  </si>
  <si>
    <t>Configurable PE array with fixed-point MAC units, pipelining, on-chip activation/weight/partial-sum buffers, and memory-mapped embedded-processor control</t>
  </si>
  <si>
    <t>Fixed point; bit width NR</t>
  </si>
  <si>
    <t>Offline model preparation; hardware inference</t>
  </si>
  <si>
    <t>Fixed-point arithmetic, parallel PE activation, data reuse, on-chip buffering, configurable dataflow, and clock/power gating concepts</t>
  </si>
  <si>
    <t>Hardware mapping and runtime reconfiguration</t>
  </si>
  <si>
    <t>FPGA accelerator</t>
  </si>
  <si>
    <t>Target FPGA platform not identified</t>
  </si>
  <si>
    <t>FPGA PE array with coupled embedded processor; exact devices NR</t>
  </si>
  <si>
    <t>Power, latency, memory-access overhead, and workload adaptability</t>
  </si>
  <si>
    <t>Custom HDL/RTL accelerator; runtime software details NR</t>
  </si>
  <si>
    <t>Unnamed FPGA vendor toolchain</t>
  </si>
  <si>
    <t>Custom HDL synthesis and bitstream generation are described conceptually</t>
  </si>
  <si>
    <t>On-chip buffers and reduced off-chip access; capacities NR</t>
  </si>
  <si>
    <t>NV — claimed benchmark without reproducible setup</t>
  </si>
  <si>
    <t>Unspecified FPGA implementation and simulated CNN inference workloads</t>
  </si>
  <si>
    <t>Claimed, but target platform cannot be verified from the paper</t>
  </si>
  <si>
    <t>12.6 ms latency is reported; no application deadline</t>
  </si>
  <si>
    <t>12.6 ms reported</t>
  </si>
  <si>
    <t>58.3 GOPS reported</t>
  </si>
  <si>
    <t>420 mW and 138.8 GOPS/W reported; energy per inference is not explicitly reported</t>
  </si>
  <si>
    <t>LUT 31%; flip-flop 28%; DSP 46%; BRAM 34%</t>
  </si>
  <si>
    <t>Not reported: model, dataset, FPGA part/board, HDL, source code, synthesis settings, reports, instrumentation, raw timing/power data, and repository are absent.</t>
  </si>
  <si>
    <t>The numerical table cannot be independently assessed. Use only as low-confidence thematic evidence for FPGA design patterns.</t>
  </si>
  <si>
    <t>Architecture pp. 28–30; claimed performance table and discussion pp. 30–31</t>
  </si>
  <si>
    <t>Exclude A36 from robust measured-hardware and comparative-performance denominators.</t>
  </si>
  <si>
    <t>Complete — batch 4; evidence restricted</t>
  </si>
  <si>
    <t>The rising use of edge-intelligent applications, such as smart surveillance, autonomous sensing, and industrial Internet of Things (IIoT) systems, has introduced a serious demand on energy efficient hardware platforms with the ability to run AI workloads in strict power, latency, and resource constraints. The traditional CPU-and GPU-based solutions do not always suit the edge environments because they are very energy-consuming and have lower real-time performance. Inorder to overcome these difficulties, this paper introduces an energy-efficient Edge-AI accelerator, which relies on a reconfigurability, FPGA-centric VLSI architecture, which has been optimized towards deep neural network inference. The architecture thatis proposed utilizes parallel processing element array, data reuse based on-chip memory organization as well as configurable dataflow to ensure maximum computational throughput with minimum overhead memory access. Reconfigurability is also added on the architectural level, whereby the accelerator can dynamically reconfigurate into a different neural network workload and computation needs. It is implemented on an FPGA platform using an FPGA design flow based on a hardware-oriented design process and it is tested against simulated convolutional neural network (CNN) tasks of inference. Experimental findings indicate that the proposed accelerator can be significantly better in terms of energy use and throughput than traditional embedded processing platforms, and still be able to support real-time inference. The findings affirm that reconfigurable VLSI architectures combining with the FPGA technology have a potential and scalable solution to low power Edge-AI adoption. The presented work demonstrates the usefulness of hardware-based optimization of embedded intelligence and offers a viable basis of future energy-conscious Edge-AI systems.</t>
  </si>
  <si>
    <t>Comparison of five compact CNNs for eight-class keyword and acoustic-event recognition under TinyML constraints</t>
  </si>
  <si>
    <t>Evaluates model accuracy, robustness, INT8 footprint, simulated nRF52840 latency, and simulated per-inference energy, with speaker-independent testing and public artifacts</t>
  </si>
  <si>
    <t>Controlled eight-class subset of Speech Commands; one-second 16 kHz audio; 80:20 speaker-independent split; five CNN variants</t>
  </si>
  <si>
    <t>Audio is transformed to normalized 49×32×1 Mel-spectrograms. AlexNet-Tiny, LeNet-Tiny, MobileNet-Tiny, VGG-Tiny, and CustomCNN-Tiny are trained and converted to full INT8 TensorFlow Lite models.</t>
  </si>
  <si>
    <t>Predictive evaluation with hardware-targeted simulation; no physical on-device measurement</t>
  </si>
  <si>
    <t>VGG-Tiny reports 89.81% accuracy. MobileNet-Tiny reports simulated latency of 0.88 ms and 14.4 µJ/inference. CustomCNN-Tiny reports the smallest Flash footprint at 42.9 KB.</t>
  </si>
  <si>
    <t>Hardware values are simulated/estimated, not physically measured; sample and speaker counts are not fully reported; controlled audio does not represent open-world field conditions</t>
  </si>
  <si>
    <t>Keyword spotting and privacy-preserving acoustic event detection</t>
  </si>
  <si>
    <t>Eight-class acoustic classification</t>
  </si>
  <si>
    <t>Audio / Mel-spectrograms</t>
  </si>
  <si>
    <t>Controlled subset of Google Speech Commands plus silence, ambient-noise, and sudden-noise categories</t>
  </si>
  <si>
    <t>Exact total sample and speaker counts NR; one-second clips at 16 kHz; confusion matrices suggest 500 test examples per class for several classes</t>
  </si>
  <si>
    <t>80% training and 20% speaker-independent test split; early stopping; adaptive learning-rate reduction; robustness tests under Gaussian noise, temporal shift, and amplitude scaling</t>
  </si>
  <si>
    <t>STFT, Mel filtering, log Mel-spectrogram, normalization; final input 49×32×1</t>
  </si>
  <si>
    <t>Compact convolutional neural networks</t>
  </si>
  <si>
    <t>AlexNet-Tiny, LeNet-Tiny, MobileNet-Tiny, VGG-Tiny, and CustomCNN-Tiny; compact Conv–Conv–Pool blocks with eight-class softmax heads</t>
  </si>
  <si>
    <t>NR in the article's deployment table</t>
  </si>
  <si>
    <t>FP32 training and full INT8 post-training quantization</t>
  </si>
  <si>
    <t>Offline supervised training; intended on-device inference</t>
  </si>
  <si>
    <t>Compact architecture design, depthwise separable convolution for MobileNet, dropout/batch normalization, and INT8 quantization</t>
  </si>
  <si>
    <t>Architecture design and post-training conversion</t>
  </si>
  <si>
    <t>MCU target — simulated</t>
  </si>
  <si>
    <t>Seeed Studio XIAO nRF52840 Sense</t>
  </si>
  <si>
    <t>Nordic nRF52840 Arm Cortex-M4F</t>
  </si>
  <si>
    <t>256 KB</t>
  </si>
  <si>
    <t>1 MB</t>
  </si>
  <si>
    <t>Target board includes audio/IMU capabilities; actual acquisition firmware not deployed</t>
  </si>
  <si>
    <t>Flash &lt;150 KB, RAM &lt;256 KB, latency &lt;50 ms, and target accuracy ≥85%</t>
  </si>
  <si>
    <t>TensorFlow/Keras and TensorFlow Lite; article states TFLM/Edge Impulse compatibility</t>
  </si>
  <si>
    <t>Exact simulator/profiler implementation and versions NR</t>
  </si>
  <si>
    <t>Full INT8 TFLite conversion; physical firmware/kernels NR</t>
  </si>
  <si>
    <t>RAM usage simulated as 19.5 KB for all five models; allocation details NR</t>
  </si>
  <si>
    <t>2 — Hardware-targeted simulation</t>
  </si>
  <si>
    <t>Desktop model training and simulated XIAO nRF52840 resource/latency/energy evaluation</t>
  </si>
  <si>
    <t>No — discussion explicitly states reliance primarily on hardware simulation</t>
  </si>
  <si>
    <t>NR for hardware simulation; predictive test is speaker independent</t>
  </si>
  <si>
    <t>Simulated latency 0.88–2.90 ms against a &lt;50 ms target</t>
  </si>
  <si>
    <t>VGG-Tiny: accuracy 89.81%, macro precision 90.09%, recall 88.20%, F1 86.83%. Other accuracies: MobileNet 79.12%, AlexNet 73.94%, CustomCNN 72.87%, LeNet 67.92%.</t>
  </si>
  <si>
    <t>Simulated: MobileNet 0.88 ms; CustomCNN 0.98 ms; LeNet 1.26 ms; VGG 2.48 ms; AlexNet 2.90 ms</t>
  </si>
  <si>
    <t>19.5 KB simulated for each architecture</t>
  </si>
  <si>
    <t>INT8: 42.9–117.0 KB; CustomCNN 42.9 KB, MobileNet 43.5 KB, VGG 53.5 KB</t>
  </si>
  <si>
    <t>Simulated 14.4–47.9 µJ/inference; MobileNet lowest at 14.4 µJ</t>
  </si>
  <si>
    <t>Robustness degradation: CustomCNN −0.02%, VGG 1.54%, MobileNet 8.12%</t>
  </si>
  <si>
    <t>Strong/Partial: a Zenodo repository with DOI 10.5281/zenodo.18703701 is stated to contain datasets, scripts, documentation, and model files. Repository contents were not independently audited.</t>
  </si>
  <si>
    <t>Do not call the hardware metrics on-device measurements. The article contains wording that suggests deployment validation, but its limitations explicitly characterize the evaluation as simulated.</t>
  </si>
  <si>
    <t>Data/method pp. 7–10; predictive results pp. 11–14; hardware simulation Tables 6–9 pp. 14–16; limitations and data availability pp. 17–18</t>
  </si>
  <si>
    <t>Use the speaker-independent predictive result and simulated deployment estimates in separate strata.</t>
  </si>
  <si>
    <t>This paper investigates the design and evaluation of compact convolutional neural networks (CNNs) for keyword spotting (KWS) and acoustic event detection under the stringent constraints of the TinyML paradigm. The research expands upon traditional binary classification approaches by addressing a multi-class acoustic scenario encompassing eight distinct categories: stop, no, go, yes, unknown, silence, noise_ambient, and noise_sudden. The primary objective is to evaluate the feasibility of deploying reliable acoustic detection systems on ultra-low-power microcontrollers for edge computing applications. To this end, five lightweight architectures were developed and benchmarked: AlexNet-Tiny, LeNet-Tiny, MobileNet-Tiny, VGG-Tiny, and CustomCNN-Tiny. The models were trained using Mel-spectrogram features and optimized through INT8 post-training quantization to facilitate embedded deployment. Hardware simulation was conducted targeting the XIAO nRF52840 Sense microcontroller (64 MHz, 256 KB RAM). Experimental results demonstrate that the Gold VGG-Tiny architecture achieves the highest classification accuracy (89.81%), while Silver MobileNet-Tiny provides the superior operational efficiency with the lowest inference latency (0.88 ms) and minimal energy consumption (14.4 μJ). Furthermore, the Bronze CustomCNN-Tiny model achieves the most reduced memory footprint (42.9 KB), highlighting its suitability for memory-constrained environments. Statistical validation using Cohen’s Kappa, Matthews Correlation Coefficient (MCC), and Area Under the Curve (AUC) confirms the robustness and reliability of the proposed models. The potential application of this system is motivated by acoustic monitoring for the early detection of high-risk situations, such as gender-based violence. Future work will focus on on-device physical validation and real-world deployment in wearable safety electronics.</t>
  </si>
  <si>
    <t>Stable-rank-guided LoRA compression integrating adaptive rank allocation, structured sparsity, and hybrid quantization</t>
  </si>
  <si>
    <t>Compresses DistilBERT using layer-specific stable-rank estimates, 4:8 sparsity, and three-tier 3-bit/NF4/8-bit quantization, with NLP accuracy and edge-device efficiency evaluation</t>
  </si>
  <si>
    <t>SemEval-2018 Emotion, SST-2, BoolQ, and MNLI public datasets; five independent runs for main comparisons; edge metrics reported for Jetson Nano, Raspberry Pi 4, and simulated Snapdragon 888</t>
  </si>
  <si>
    <t>DistilBERT-base-uncased (66M parameters) is fine-tuned with adaptive LoRA ranks, 4:8 sparsity in attention, and hybrid quantization; custom CUDA sparse kernels are used for acceleration</t>
  </si>
  <si>
    <t>Controlled model benchmark with two reported physical edge platforms and one simulated mobile platform</t>
  </si>
  <si>
    <t>SQ-LoRA reports 82.00±0.23% average accuracy, 0.32 GB GPU memory, and 10.0 ms benchmark latency. Edge-table latency is 18.3 ms on Jetson Nano and 42.7 ms on Raspberry Pi 4.</t>
  </si>
  <si>
    <t>The deployment runtime, device-level instrumentation, power-measurement procedure, and Raspberry Pi sparse-kernel implementation are insufficiently documented; mobile results are simulated</t>
  </si>
  <si>
    <t>Resource-constrained natural-language understanding</t>
  </si>
  <si>
    <t>Emotion classification, sentiment analysis, Boolean QA, and natural-language inference</t>
  </si>
  <si>
    <t>Text</t>
  </si>
  <si>
    <t>SemEval-2018 Task 1, SST-2, BoolQ, and MNLI through original sources/Hugging Face Datasets</t>
  </si>
  <si>
    <t>Emotion: 6838/886/3259 train/validation/test; SST-2: 67,349/872/1821; BoolQ: 9427/3270; MNLI: 392,702 training plus 9815/9832 validation sets</t>
  </si>
  <si>
    <t>Five independent runs with different random seeds for main comparisons; paired t-tests; task-specific ablation studies</t>
  </si>
  <si>
    <t>DistilBERT tokenizer, maximum sequence length 128, batch 16 with 4× gradient accumulation</t>
  </si>
  <si>
    <t>Transformer encoder with low-rank adapters</t>
  </si>
  <si>
    <t>DistilBERT-base-uncased, 66M parameters, adaptive layer-wise LoRA ranks</t>
  </si>
  <si>
    <t>66M base parameters; compressed trainable/storage parameter breakdown NR</t>
  </si>
  <si>
    <t>Hybrid 3-bit for central weights, 4-bit NF4 base quantization, and 8-bit outliers</t>
  </si>
  <si>
    <t>Offline fine-tuning and on-device inference</t>
  </si>
  <si>
    <t>Stable-rank adaptive LoRA, 4:8 structured sparsity, hybrid quantization, and custom sparse CUDA kernels</t>
  </si>
  <si>
    <t>Fine-tuning and deployment runtime</t>
  </si>
  <si>
    <t>Embedded GPU/SBC and simulated mobile SoC</t>
  </si>
  <si>
    <t>NVIDIA Jetson Nano (2 GB), Raspberry Pi 4 Model B (8 GB), and simulated Qualcomm Snapdragon 888 (6 GB)</t>
  </si>
  <si>
    <t>Jetson Maxwell GPU; Raspberry Pi Cortex-A72 CPU; simulated Adreno 660 GPU</t>
  </si>
  <si>
    <t>Raspberry Pi 1.5 GHz; other clocks NR</t>
  </si>
  <si>
    <t>2 GB / 8 GB / 6 GB by platform</t>
  </si>
  <si>
    <t>Software NLP benchmark; OS images NR</t>
  </si>
  <si>
    <t>Memory under ~500 MB, low latency, and power under 5 W are stated design targets</t>
  </si>
  <si>
    <t>PyTorch 2.1, Hugging Face Transformers 4.35, Hugging Face Datasets, custom CUDA kernels</t>
  </si>
  <si>
    <t>CUDA 12.0 for training; exact edge deployment toolchain and build options NR</t>
  </si>
  <si>
    <t>Custom CUDA kernels for 4:8 structured sparsity; portability implementation details NR</t>
  </si>
  <si>
    <t>Reported model memory 287–315 MB on edge platforms; allocation breakdown NR</t>
  </si>
  <si>
    <t>4 — Controlled hardware/software benchmark</t>
  </si>
  <si>
    <t>Training on NVIDIA A100; reported edge evaluation on Jetson Nano and Raspberry Pi 4; Snapdragon environment simulated</t>
  </si>
  <si>
    <t>Reported yes — Jetson Nano and Raspberry Pi 4; mobile platform simulated</t>
  </si>
  <si>
    <t>Five independent runs for main aggregate comparison; edge-platform repetition details NR</t>
  </si>
  <si>
    <t>All reported edge latencies &lt;50 ms</t>
  </si>
  <si>
    <t>Average accuracy 82.00±0.23%; task values include SST-2 92.2%, Emotion 69.1%, BoolQ 84.0%, and MNLI 81.8%</t>
  </si>
  <si>
    <t>Main benchmark 10.0 ms; Jetson Nano 18.3 ms; Raspberry Pi 4 42.7 ms; simulated mobile 12.5 ms</t>
  </si>
  <si>
    <t>Main comparison 0.32 GB GPU memory; edge table reports 315/298/287 MB</t>
  </si>
  <si>
    <t>Approximately 320 MB reported memory footprint; persistent model-file size NR</t>
  </si>
  <si>
    <t>Reported edge power: Jetson 5.2 W, Raspberry Pi 3.8 W, simulated mobile 2.1 W; measurement method NR</t>
  </si>
  <si>
    <t>96.7% memory reduction and 91.7% latency improvement relative to full fine-tuning are claimed</t>
  </si>
  <si>
    <t>Partial: public datasets, model, hyperparameters, software versions, and equations are reported. Experimental code/data are available only on request; no persistent repository or raw device measurements are identified.</t>
  </si>
  <si>
    <t>Treat power and deployment portability cautiously because the measurement and runtime details are incomplete. Do not combine simulated mobile data with physical-device results.</t>
  </si>
  <si>
    <t>Method pp. 4–7; datasets/setup pp. 7–8; Tables 1–4 pp. 8–10; limitations and data availability pp. 11–12</t>
  </si>
  <si>
    <t>Medium/High</t>
  </si>
  <si>
    <t>Separate training GPU-memory/latency metrics from device-specific edge results.</t>
  </si>
  <si>
    <t>The deployment of transformer-based language models on resource-constrained edge devices presents fundamental challenges in computational efficiency and memory utilization. We introduce SQ-LoRA (Stable-rank Quantized Low-Rank Adaptation), a theoretically grounded compression framework that achieves unprecedented efficiency through the synergistic integration of adaptive low-rank decomposition, hardware-accelerated structured sparsity, and intelligent hybrid quantization. Our primary contribution establishes the first rigorous mathematical connection between the matrix stable rank and optimal LoRA rank selection, formalized in Theorem I, which provides bounded approximation guarantees. SQ-LoRA implements: (1) adaptive rank allocation via stable-rank analysis to automatically determine layer-wise compression ratios; (2) 4:8 structured sparsity patterns, enabling 2× hardware acceleration on modern edge processors; and (3) a three-tier quantization scheme that combines 4-bit NormalFloat storage with selective 3-bit/8-bit precision to preserve outliers. A comprehensive evaluation on four diverse natural language processing (NLP) benchmarks demonstrates that SQ-LoRA achieves a 320 MB memory footprint (96.7% reduction) and a 10 ms inference latency (91.7% improvement), and maintains 82.0% average accuracy (within 0.15% of the full model). Statistical significance testing (p &lt; 0.001) confirms its superiority over state-of-the-art methods. This framework enables the deployment of sophisticated language models on devices with 2 GB of RAM, advancing practical edge-AI applications.</t>
  </si>
  <si>
    <t>Batch 4 — exhaustive full-text review completed; non-empirical survey</t>
  </si>
  <si>
    <t>Full-text PDF supplied by user; pp. 1–50</t>
  </si>
  <si>
    <t>Structured narrative survey of Edge-AI deployment, optimization, toolchains, connectivity, benchmarking, and lifecycle management</t>
  </si>
  <si>
    <t>Organizes the field across pre-deployment, deployment, and post-deployment phases, including toolchain taxonomies, hardware classes, OTA updates, monitoring, and benchmarking</t>
  </si>
  <si>
    <t>Extensive literature synthesis centered on 2020–2025 with earlier foundational work; no original dataset, model, device implementation, or quantitative experiment</t>
  </si>
  <si>
    <t>Lifecycle-oriented narrative organization and comparative tables of tools, frameworks, hardware classes, applications, and prior surveys</t>
  </si>
  <si>
    <t>0 — Survey / conceptual; no original experimental validation</t>
  </si>
  <si>
    <t>Identifies fragmented toolchains, inconsistent benchmarks, weak post-deployment support, and the need for portable, lifecycle-aware, secure, and maintainable Edge-AI workflows.</t>
  </si>
  <si>
    <t>No explicit reproducible search strategy, database query, PRISMA flow, inclusion/exclusion criteria, extraction protocol, or quality assessment is reported</t>
  </si>
  <si>
    <t>Cross-domain Edge-AI deployment and lifecycle management</t>
  </si>
  <si>
    <t>Survey and taxonomy</t>
  </si>
  <si>
    <t>Published literature</t>
  </si>
  <si>
    <t>NA; exact number of screened/included publications NR</t>
  </si>
  <si>
    <t>Multiple model families reviewed</t>
  </si>
  <si>
    <t>Multiple hardware/software systems reviewed</t>
  </si>
  <si>
    <t>Quantization and mixed precision discussed qualitatively</t>
  </si>
  <si>
    <t>Offline, federated, continual, and on-device learning reviewed</t>
  </si>
  <si>
    <t>Quantization, pruning, clustering, knowledge distillation, NAS, compiler optimization, scheduling, memory planning, and adaptive offloading</t>
  </si>
  <si>
    <t>Full lifecycle: pre-deployment, deployment, and post-deployment</t>
  </si>
  <si>
    <t>MCU, hybrid MCU, SoC, SBC, mobile, and wearable classes; FPGA/ASIC acknowledged but outside the main software-centric taxonomy</t>
  </si>
  <si>
    <t>Multiple representative platforms reviewed</t>
  </si>
  <si>
    <t>Multiple CPU, DSP, NPU, GPU, and accelerator classes reviewed</t>
  </si>
  <si>
    <t>Multiple systems reviewed</t>
  </si>
  <si>
    <t>Memory, latency, energy, connectivity, portability, security, and maintainability</t>
  </si>
  <si>
    <t>TFLite Micro/LiteRT, ONNX Runtime, TVM/microTVM, CMSIS-NN, STM32Cube.AI, ExecuTorch, OpenVINO, TensorRT, Edge Impulse, and others</t>
  </si>
  <si>
    <t>Multiple academic and commercial compiler/deployment ecosystems reviewed</t>
  </si>
  <si>
    <t>Reviewed conceptually</t>
  </si>
  <si>
    <t>Static planning and memory-aware execution reviewed</t>
  </si>
  <si>
    <t>0 — Survey / conceptual</t>
  </si>
  <si>
    <t>NA — literature examples only</t>
  </si>
  <si>
    <t>Limited as a review protocol: references and taxonomies are extensive, but a reproducible literature-search and extraction method is not reported. No review dataset or code repository is identified.</t>
  </si>
  <si>
    <t>Use as high-value conceptual background, not as empirical evidence or a systematic-review comparator.</t>
  </si>
  <si>
    <t>Scope/taxonomy pp. 1–5; lifecycle and toolchains pp. 8–30; benchmarking/applications/challenges pp. 30–40</t>
  </si>
  <si>
    <t>Exclude A39 from all empirical denominators while retaining it for Sections 2.1, 2.5, 2.7, and 3.</t>
  </si>
  <si>
    <t>Complete — batch 4; non-empirical</t>
  </si>
  <si>
    <t>Edge Artificial Intelligence (AI) allows machine learning models to run directly on resource-constrained IoT and edge devices instead of relying only on cloud resources. This shift reduces latency and improves privacy but introduces strict constraints on memory, energy, and connectivity across heterogeneous sensor nodes. Deploying AI on constrained devices also requires addressing fragmented toolchains and inconsistent evaluation practices. This survey provides a structured review of deployment methods for edge AI, including model compilation, intermediate representations, hardware-aware optimization, scheduling strategies, and connectivity-aware execution. Post-deployment aspects are also examined, including lifecycle management, secure over-the-air updates, and benchmarking frameworks that combine latency, accuracy, and energy. Use cases in healthcare, smart cities, autonomous systems, manufacturing, and agriculture illustrate practical applications. Across these areas, common challenges in portability, reproducibility, adaptivity, and security are identified, along with emerging directions such as dynamic orchestration across heterogeneous devices and modular update mechanisms. By combining perspectives from compiler design, system optimization, and lifecycle management, this survey highlights how deployment pipelines are evolving into key enablers for reliable and scalable intelligence at the network edge.</t>
  </si>
  <si>
    <t>Full-text PDF supplied by user; pp. 1–15</t>
  </si>
  <si>
    <t>Open-source Jupyter workflow for model selection, quantization, code generation, and MCU benchmarking of ultra-low-resolution image classifiers</t>
  </si>
  <si>
    <t>TICE compares shallow ML, MLP, and CNN models; dynamic/static/QAT quantization; STM32Cube.AI and TFLM deployment; and measured latency, memory, and energy on five MCU boards</t>
  </si>
  <si>
    <t>Four real low-resolution imaging datasets: TOF (4150), EPD (1734), ITD (1770), and SFD (3200 images); 70/15/15 stratified split; five physical MCU boards</t>
  </si>
  <si>
    <t>Grid/Bayesian hyperparameter tuning selects SVM, KNN, RF, MLP, and CNN candidates. The best models undergo dynamic, static, and quantization-aware training and are exported as TFLite for STM32/Arduino deployment.</t>
  </si>
  <si>
    <t>Controlled multi-board physical benchmark with profiler-derived memory/MACC and laboratory energy measurements</t>
  </si>
  <si>
    <t>The notebook generated deployment-ready models for all four datasets. Representative best H7 latencies span 0.08 ms (TOF MLP) to 30.25 ms (EPD CNN), while model feasibility varies strongly by dataset, architecture, and MCU memory.</t>
  </si>
  <si>
    <t>Datasets are ultra-low-resolution and application specific; some large models do not fit lower-end boards; STM32Cube.AI supplies some resource metrics, and energy measurement boundaries are not fully separated</t>
  </si>
  <si>
    <t>Ultra-low-resolution smart imaging sensors</t>
  </si>
  <si>
    <t>Binary and multiclass image classification</t>
  </si>
  <si>
    <t>TOF depth images, visible-light grayscale images, and low-resolution thermal images</t>
  </si>
  <si>
    <t>TOF robot-detection dataset; EPD electronic-parts dataset; ITD thermal-presence dataset; SFD thermal sign-digit dataset</t>
  </si>
  <si>
    <t>TOF 4150 images; EPD 1734; ITD 1770; SFD 3200</t>
  </si>
  <si>
    <t>Stratified 70% training, 15% validation, 15% test; extensive hyperparameter search; hardware values averaged over 100 test runs for energy measurements</t>
  </si>
  <si>
    <t>Dataset download and stratified split; no additional preprocessing in the notebook's baseline workflow</t>
  </si>
  <si>
    <t>Linear SVM, KNN, random forest, MLP, and CNN</t>
  </si>
  <si>
    <t>Configurable shallow models, fully connected MLPs, and compact CNNs selected separately for each dataset</t>
  </si>
  <si>
    <t>Model-specific; representative static-quantized CNN MACC range includes 15,772 (TOF) to 5,277,598 (EPD)</t>
  </si>
  <si>
    <t>Full precision plus dynamic INT8, static INT8, and quantization-aware training</t>
  </si>
  <si>
    <t>Hyperparameter search, dynamic/static quantization, QAT, target-specific model substitution, and code generation</t>
  </si>
  <si>
    <t>Training, post-training conversion, and deployment</t>
  </si>
  <si>
    <t>STM32F091, STM32F401, STM32L4R9I, STM32H7B3I, and Arduino Nano 33 BLE Sense Rev2</t>
  </si>
  <si>
    <t>Arm Cortex-M-class MCUs; no dedicated NPU</t>
  </si>
  <si>
    <t>48, 84, 120, 480, and 64 MHz, respectively</t>
  </si>
  <si>
    <t>32, 96, 640, 1400, and 256 KiB</t>
  </si>
  <si>
    <t>256, 512, 2000, 2000, and 1000 KiB</t>
  </si>
  <si>
    <t>No integrated acquisition firmware benchmarked; STM32/Arduino embedded environments</t>
  </si>
  <si>
    <t>128 KiB–2 MB ROM, 32–1400 KiB RAM, latency, energy, and model fit</t>
  </si>
  <si>
    <t>Scikit-learn, TensorFlow/Keras, TensorFlow Lite, TFLite Micro, STM32Cube.AI Developer Cloud, X-Cube AI, Arduino IDE</t>
  </si>
  <si>
    <t>TICE Jupyter notebook; TensorFlow Model Optimization Toolkit; STM32Cube.AI cloud/C code generation; Arduino conversion via xxd</t>
  </si>
  <si>
    <t>STM32Cube.AI-generated C and TFLM/Arduino model byte arrays</t>
  </si>
  <si>
    <t>ROM/RAM reported by STM32Cube.AI Analyze API; TFLM deployment on Arduino</t>
  </si>
  <si>
    <t>4 — Controlled laboratory multi-device benchmark</t>
  </si>
  <si>
    <t>Physical MCU benchmarking, STM32Cube.AI analysis/benchmark APIs, and USB-multimeter energy measurements</t>
  </si>
  <si>
    <t>Yes — five MCU boards</t>
  </si>
  <si>
    <t>Energy values averaged over 100 test runs; timing dispersion not reported</t>
  </si>
  <si>
    <t>Execution ranges from sub-millisecond to multiple seconds depending on model/board; feasibility is application and board specific</t>
  </si>
  <si>
    <t>Best static-quantized CNN accuracies: TOF 98.07%, EPD 99.63%, ITD 95.99%, SFD 99.16%. Quantization results vary by dataset.</t>
  </si>
  <si>
    <t>Representative H7: 0.08 ms TOF MLP, 0.32 ms TOF CNN, 30.25 ms EPD CNN, 21.93 ms ITD CNN, 15.06 ms SFD CNN. Lower-end F0 cases reach seconds.</t>
  </si>
  <si>
    <t>Model/board dependent; representative H7 RAM utilization: 0.02–1.67% in Table 13</t>
  </si>
  <si>
    <t>Static-quantized model weights range from 7.39 KiB TOF CNN to 1788 KiB SFD MLP; board fit determines selected model</t>
  </si>
  <si>
    <t>Representative H7 energy: 18.24 µJ TOF MLP, 72.00 µJ TOF CNN, 6892.79 µJ EPD CNN, 4996.80 µJ ITD CNN, 3470.40 µJ SFD CNN. Energy was calculated from measured power × inference time.</t>
  </si>
  <si>
    <t>TICE runs the complete model-development workflow in under approximately one hour per tested dataset</t>
  </si>
  <si>
    <t>Strong: TICE is released open source at https://github.com/Elios-Lab/tice with notebooks for the four datasets. Public dataset references, toolchain flow, model tables, and hardware configurations are provided; exact environment pinning/raw power traces are incomplete.</t>
  </si>
  <si>
    <t>Separate STM32Cube.AI profiler-derived memory/MACC values from laboratory energy measurements. Avoid generalizing ultra-low-resolution results to conventional vision tasks.</t>
  </si>
  <si>
    <t>Datasets pp. 3–4; models/quantization pp. 4–8; hardware methods and Tables 12–13 pp. 8–10; assessment/open-source statement pp. 10–12</t>
  </si>
  <si>
    <t>A40 supplies direct evidence for STM32Cube.AI and physical multi-MCU benchmarking.</t>
  </si>
  <si>
    <t>Tiny machine learning technologies are bringing intelligence ever closer to the sensor, thus enabling the key benefits of edge computing (e.g., reduced latency, improved data security, higher energy efficiency, and lower bandwidth consumption, also without the need for constant connectivity). This promises to significantly enhance industrial applications but requires suited development tools to deal with the complexity of the edge technologies and context. We propose an agile Jupyter Python notebook as a simple, manageable tool to efficiently and effectively develop microcontroller-based intelligent imaging classification sensors. The notebook implements a methodology involving hyperparameter tuning and comparison of different shallow and deep learning models, with quantization. It exports TensorFlow Lite models, deployable on several microcontroller families, and optionally exploits the STM32Cube.AI developer cloud service, which allows benchmarking the developed models on a set of real-world tiny hardware target platforms. Assessment concerns various types of metrics, both for machine learning (e.g., accuracy) and embedded systems (e.g., memory footprint, latency, and energy consumption). We have verified the support for development effectiveness and efficiency on four ultralow resolution image-classification datasets, with different levels of input and task complexity. In all cases, the tool was able to build microcontroller-deployment ready, beyond the state-of-the-art models, within 1 h on Google Colab CPUs.</t>
  </si>
  <si>
    <t>Full-text PDF supplied by user; pp. 1–11</t>
  </si>
  <si>
    <t>General project-style description of Edge-AI model optimization and deployment</t>
  </si>
  <si>
    <t>Discusses pruning, quantization, knowledge distillation, TFLite, ONNX Runtime, static tensor arenas, privacy, and generic Edge-AI trade-offs</t>
  </si>
  <si>
    <t>Illustrative tables compare a nominal FP32 and INT8 model, but no actual dataset, trained model, task, hardware configuration, software version, experiment protocol, or raw result is identified</t>
  </si>
  <si>
    <t>Generic recommended workflow: choose MobileNetV2 or another lightweight model, prune, quantize to INT8, convert to TFLite/ONNX, and deploy to Raspberry Pi, Arduino, or mobile hardware</t>
  </si>
  <si>
    <t>NV — non-reconstructable project claims</t>
  </si>
  <si>
    <t>The article reports conflicting illustrative values: 120/22 ms and 124.5/21.8 ms latency; 14/3.5 MB and 18.4/4.7 MB model size; 120/15 MB and 128/18.1 MB RAM; accuracy 94.5%/93.1%.</t>
  </si>
  <si>
    <t>No source of the numerical results is provided, and the duplicated tables conflict; power reduction is asserted but not quantified or measured</t>
  </si>
  <si>
    <t>Generic image classification, object detection, and anomaly detection</t>
  </si>
  <si>
    <t>Unspecified Edge-AI demonstration</t>
  </si>
  <si>
    <t>Unspecified; CIFAR-10, ImageNet, COCO, and custom IoT data are only examples</t>
  </si>
  <si>
    <t>NR — controlled experiments are asserted but not described</t>
  </si>
  <si>
    <t>Generic cleaning, normalization, and train/validation/test splitting</t>
  </si>
  <si>
    <t>Generic lightweight CNN</t>
  </si>
  <si>
    <t>MobileNetV2 is recommended; actual evaluated architecture NR</t>
  </si>
  <si>
    <t>FP32 and INT8</t>
  </si>
  <si>
    <t>Pruning, post-training INT8 quantization, optional knowledge distillation, and static tensor-arena allocation</t>
  </si>
  <si>
    <t>Training/post-training conversion and deployment</t>
  </si>
  <si>
    <t>SBC/MCU/mobile — generic</t>
  </si>
  <si>
    <t>Raspberry Pi 4, Arduino Nano 33 BLE, and Android are listed as possible targets; actual tested device NR</t>
  </si>
  <si>
    <t>Memory, latency, energy, thermal throttling, and privacy</t>
  </si>
  <si>
    <t>TensorFlow Lite and ONNX Runtime</t>
  </si>
  <si>
    <t>TensorFlow Model Optimization Toolkit; exact versions/build options NR</t>
  </si>
  <si>
    <t>TFLite/ONNX conversion described generically</t>
  </si>
  <si>
    <t>Static tensor arena recommended; actual allocation NR</t>
  </si>
  <si>
    <t>NV — insufficiently specified claimed project</t>
  </si>
  <si>
    <t>21.8–22 ms is claimed and interpreted as ~45 FPS; measurement setup NR</t>
  </si>
  <si>
    <t>Accuracy 94.5% baseline and 93.1% optimized are reported without dataset/task evidence</t>
  </si>
  <si>
    <t>Conflicting tables report 120 vs 22 ms and 124.5 vs 21.8 ms</t>
  </si>
  <si>
    <t>Approximately 45 FPS is calculated from 21.8 ms, not independently measured</t>
  </si>
  <si>
    <t>Conflicting tables report 120 vs 15 MB and 128 vs 18.1 MB</t>
  </si>
  <si>
    <t>Conflicting tables report 14 vs 3.5 MB and 18.4 vs 4.7 MB</t>
  </si>
  <si>
    <t>Qualitative reduction only; no measured values</t>
  </si>
  <si>
    <t>Claims 5.4×/5.7× speedup and 85% RAM reduction</t>
  </si>
  <si>
    <t>Not reported: dataset, code, model, hardware, firmware, versions, protocol, raw results, or repository are absent.</t>
  </si>
  <si>
    <t>The numerical claims are internally inconsistent and unsupported by a reproducible experiment. Exclude A41 from all empirical denominators.</t>
  </si>
  <si>
    <t>Generic workflow pp. 3–7; conflicting Tables 4–5 and discussion pp. 7–10</t>
  </si>
  <si>
    <t>Use only as weak thematic evidence, if retained at all; do not cite its numerical values as verified results.</t>
  </si>
  <si>
    <t>Edge AI focuses on deploying machine learning models directly on resource-constrained devices such as smartphones, IoT sensors, and embedded systems. This project explores efficient techniques for running intelligent models locally without relying on cloud infrastructure. The main objective is to reduce latency, improve data privacy, and enable real-time decision making. Lightweight models and optimization methods like pruning, quantization, and knowledge distillation are utilized to fit limited computational resources. The project involves selecting suitable machine learning algorithms and converting them into optimized formats for edge deployment. Frameworks such as TensorFlow Lite and ONNX Runtime are used to support model execution on low-power devices. Performance is evaluated based on accuracy, inference speed, memory usage, and power consumption. The system demonstrates how edge devices can perform tasks like image classification, object detection, or anomaly detection efficiently. Challenges such as limited memory, processing power, and energy constraints are addressedthrough model optimization strategies. The project also highlights trade-offs between model complexity and performance. Real-world use cases include smart surveillance, healthcare monitoring, and industrial automation. By shifting computation closer to data sources, network dependency is minimized. The approach ensures faster responses and enhanced security by keeping sensitive data on-device. Overall, this project showcases the potential of Edge AI in building scalable and efficient intelligent systems.</t>
  </si>
  <si>
    <t>Full-text PDF supplied by user; pp. 2–7</t>
  </si>
  <si>
    <t>TinyOL incremental online learning on a microcontroller</t>
  </si>
  <si>
    <t>A frozen TFLM feature extractor in Flash is extended by a trainable RAM-resident output layer updated one sample at a time without storing history</t>
  </si>
  <si>
    <t>Arduino Nano 33 BLE accelerometer data from a USB fan under normal, stuck, and tilted conditions; five minutes per class at 119 Hz</t>
  </si>
  <si>
    <t>PCA reduces three-axis accelerometer data to one dimension; 40-timestamp windows feed an autoencoder with a four-unit embedding. The last layer is fine-tuned on-device via SGD for 2,000 iterations.</t>
  </si>
  <si>
    <t>Average inference was 1,748 µs and online learning 1,921 µs over 3,000 samples. Online adaptation aligned field and training error distributions and was competitive when data and resources were limited.</t>
  </si>
  <si>
    <t>Exact RAM/Flash footprint, energy cost, public code/model/data artifacts, and numeric F1 values from plots are not reported.</t>
  </si>
  <si>
    <t>Predictive maintenance / fan anomaly detection</t>
  </si>
  <si>
    <t>Anomaly detection and incremental multi-class adaptation</t>
  </si>
  <si>
    <t>Three-axis accelerometer time series</t>
  </si>
  <si>
    <t>Locally acquired fan-vibration data under normal, stuck, and tilted states</t>
  </si>
  <si>
    <t>Five minutes per class at 119 Hz; 40-sample windows; 3,000 normal and 3,000 abnormal samples used in MSE-distribution analysis</t>
  </si>
  <si>
    <t>Offline autoencoder training followed by on-device fine-tuning and before/after error-distribution plus multi-anomaly F1 comparison</t>
  </si>
  <si>
    <t>PCA from three axes to one dimension; 40-timestamp windows (~0.25 s)</t>
  </si>
  <si>
    <t>Autoencoder plus trainable online output layer</t>
  </si>
  <si>
    <t>Autoencoder input (40×1) with four-unit embedding; frozen feature extractor in Flash and trainable last layer in RAM</t>
  </si>
  <si>
    <t>Offline representation learning plus on-device online/incremental SGD</t>
  </si>
  <si>
    <t>Freeze feature extractor; train only last layer; single-sample updates; no replay/history storage</t>
  </si>
  <si>
    <t>Deployment-time adaptation</t>
  </si>
  <si>
    <t>Arduino Nano 33 BLE</t>
  </si>
  <si>
    <t>ARM Cortex-M4</t>
  </si>
  <si>
    <t>256 KB SRAM</t>
  </si>
  <si>
    <t>On-board three-axis accelerometer; Bluetooth used for interaction; OS NR</t>
  </si>
  <si>
    <t>Online updates must fit in RAM and avoid retaining historical samples</t>
  </si>
  <si>
    <t>TensorFlow Lite Micro plus TinyOL online-learning layer</t>
  </si>
  <si>
    <t>TFLM C array for frozen model; TinyOL layer implemented on device</t>
  </si>
  <si>
    <t>Frozen network in Flash; trainable layer and updates in RAM</t>
  </si>
  <si>
    <t>Arduino/fan laboratory test with on-device adaptation</t>
  </si>
  <si>
    <t>Yes — Arduino Nano 33 BLE</t>
  </si>
  <si>
    <t>Timing distributions over 3,000 samples; no confidence intervals</t>
  </si>
  <si>
    <t>Inference and update each approximately 2 ms, below the ~0.25 s input-window duration</t>
  </si>
  <si>
    <t>MSE distributions before/after fine-tuning; F1 comparison shown graphically without exact tabulated values</t>
  </si>
  <si>
    <t>Inference: mean 1,748 µs, median 1,648, min 1,403, max 1,991. Online learning: mean 1,921 µs, median 1,800, min 1,404, max 3,357.</t>
  </si>
  <si>
    <t>NR beyond 256 KB platform capacity</t>
  </si>
  <si>
    <t>2,000 on-device fine-tuning iterations; no historical-sample storage</t>
  </si>
  <si>
    <t>Partial/limited: hardware, signal acquisition, architecture, and timing protocol are described; data, code, firmware, and model artifacts are not public. The paper lists open-sourcing TinyOL as future work.</t>
  </si>
  <si>
    <t>Plots do not provide exact F1 values; memory and energy overhead of online adaptation are absent.</t>
  </si>
  <si>
    <t>System/method pp.2–4; fan dataset and fine-tuning pp.4–6; timing Table I and results pp.6–7</t>
  </si>
  <si>
    <t>Resolves the abstract ambiguity: validation used physical Arduino hardware in a controlled fan experiment.</t>
  </si>
  <si>
    <t>Tiny machine learning (TinyML) is a fast-growing research area committed to democratizing deep learning for all-pervasive microcontrollers (MCUs). Challenged by the constraints on power, memory, and computation, TinyML has achieved significant advancement in the last few years. However, the current TinyML solutions are based on batch/offline settings and support only the neural network's inference on MCUs. The neural network is first trained using a large amount of pre-collected data on a powerful machine and then flashed to MCUs. This results in a static model, hard to adapt to new data, and impossible to adjust for different scenarios, which impedes the flexibility of the Internet of Things (IoT). To address these problems, we propose a novel system called TinyOL (TinyML with Online-Learning), which enables incremental on-device training on streaming data. TinyOL is based on the concept of online learning and is suitable for constrained IoT devices. We experiment TinyOL under supervised and unsupervised setups using an autoencoder neural network. Finally, we report the performance of the proposed solution and show its effectiveness and feasibility.</t>
  </si>
  <si>
    <t>Full-text PDF supplied by user; pp. 1–30</t>
  </si>
  <si>
    <t>Latency-aware joint structured pruning and quantization of self-supervised speech transformers</t>
  </si>
  <si>
    <t>Uses block importance, iterative reconstruction, knowledge distillation, measured Hikey970 lookup tables, and a learned latency model to meet hardware speedup targets</t>
  </si>
  <si>
    <t>LibriSpeech 960 h, LibriSpeech clean-100, SLURP, and ten SUPERB tasks; training/pruning on RTX 3080; inference latency and peak memory measured on Hikey970</t>
  </si>
  <si>
    <t>Gradually prunes CNN, attention-head, FFN, and module blocks; recomputes Fisher/magnitude importance; applies layer reconstruction and optional KD; jointly quantizes and predicts hardware latency using measured block lookup tables plus linear regression</t>
  </si>
  <si>
    <t>Controlled physical edge-device benchmark with task-agnostic, task-specific, and post-training compression experiments</t>
  </si>
  <si>
    <t>Compressed Data2Vec/HuBERT reach 4.2× Hikey970 latency speedup with ~21.7M parameters and 270–273 MB peak memory versus ~94M parameters and ~2.88–2.90 GB baselines. Task-specific ASR reaches 7.8% WER.</t>
  </si>
  <si>
    <t>Optimization focuses on latency; energy is not directly measured; absolute latency values are not the main reported metric; implementation artifacts are not identified</t>
  </si>
  <si>
    <t>On-device speech and audio intelligence</t>
  </si>
  <si>
    <t>ASR, intent classification, and ten SUPERB speech tasks</t>
  </si>
  <si>
    <t>Raw speech/audio</t>
  </si>
  <si>
    <t>LibriSpeech 960 h, LibriSpeech clean-100, SLURP, and SUPERB downstream datasets</t>
  </si>
  <si>
    <t>Dataset-standard corpora; 960 h task-agnostic training and 100 h clean LibriSpeech for task-specific ASR</t>
  </si>
  <si>
    <t>Comparisons with QAT, KD, pruning, and post-training baselines; latency-target experiments on Hikey970; random-seed stability tests; ablations for pruning granularity, reconstruction interval, calibration size, and latency prediction</t>
  </si>
  <si>
    <t>Speech SSL feature extractor plus Transformer encoder; dataset/task-standard pipelines</t>
  </si>
  <si>
    <t>Self-supervised speech Transformer</t>
  </si>
  <si>
    <t>Data2Vec Audio, HuBERT, Wav2Vec 2.0, and WavLM baselines; compressed Data2Vec/HuBERT retain structured subsets of CNN and Transformer blocks</t>
  </si>
  <si>
    <t>Baselines ~94M parameters; compressed Data2Vec 21.68M and HuBERT 21.70M. Task-specific GFLOPs are reported, including 73.48 GFLOPs for a 5.84% WER result.</t>
  </si>
  <si>
    <t>Structured pruning plus quantization; exact bit width varies/NR in summary extraction</t>
  </si>
  <si>
    <t>Pretrained SSL, offline fine-tuning, task-agnostic/task-specific compression, and post-training compression</t>
  </si>
  <si>
    <t>Structured pruning, joint quantization, Fisher/magnitude block importance, latency lookup tables, learned latency model, layer reconstruction, and knowledge distillation</t>
  </si>
  <si>
    <t>Post-training and fine-tuning-based compression</t>
  </si>
  <si>
    <t>Edge development board</t>
  </si>
  <si>
    <t>HiKey 970</t>
  </si>
  <si>
    <t>HiSilicon Kirin 970 platform; inference implemented through ARM Compute Library in C++</t>
  </si>
  <si>
    <t>6 GB board memory</t>
  </si>
  <si>
    <t>Speech software benchmark; OS image NR</t>
  </si>
  <si>
    <t>Latency and peak runtime memory</t>
  </si>
  <si>
    <t>PyTorch, Hugging Face, PyTorch Lightning, ARM Compute Library (C++)</t>
  </si>
  <si>
    <t>Training/pruning on NVIDIA RTX 3080; ARM Compute Library edge implementation; exact versions/build flags NR</t>
  </si>
  <si>
    <t>C++ ARM Compute Library implementation; source release NR</t>
  </si>
  <si>
    <t>Peak runtime memory measured on HiKey970</t>
  </si>
  <si>
    <t>4 — Controlled physical edge-device benchmark</t>
  </si>
  <si>
    <t>Training/pruning on RTX 3080 and inference/memory benchmarking on HiKey970</t>
  </si>
  <si>
    <t>Yes — HiKey970</t>
  </si>
  <si>
    <t>Multiple random seeds and variance-stability tests; detailed per-experiment counts vary</t>
  </si>
  <si>
    <t>Targeted relative latency speedups up to 4.2× task agnostic and 5× task specific; absolute deadline NR</t>
  </si>
  <si>
    <t>Compressed Data2Vec: SUPERB tasks include PER 4.56%, ASR WER 7.43%, KS 96.51%. Compressed HuBERT: SID 77.66%, ASV EER 5.36%, IC 97.54%, SF F1 88.16%.</t>
  </si>
  <si>
    <t>4.2× task-agnostic speedup measured on HiKey970; post-training targets 1.5×–2.1×; IC evaluated up to 5×</t>
  </si>
  <si>
    <t>Compressed Data2Vec 270 MB and compressed HuBERT 273 MB versus ~2872–2900 MB baselines</t>
  </si>
  <si>
    <t>21.68–21.70M parameters versus 94M baselines; persistent file size NR</t>
  </si>
  <si>
    <t>Not measured; identified as future work</t>
  </si>
  <si>
    <t>Compression runtime 21–24 GPU hours versus 53–65 hours for comparison methods</t>
  </si>
  <si>
    <t>Partial: public datasets and pretrained Hugging Face models, detailed algorithms, hyperparameters, hardware, and benchmarks are provided. Code, compressed models, C++ implementation, latency tables, raw traces, and a repository are not identified.</t>
  </si>
  <si>
    <t>Do not infer energy gains from latency/memory reductions. Relative speedup dominates reporting, so comparisons requiring absolute milliseconds are limited.</t>
  </si>
  <si>
    <t>Framework pp. 2–15; setup pp. 15–16; task-agnostic Tables 1–2 pp. 16–18; task-specific/post-training pp. 18–21; latency-model/statistical tests pp. 21–27</t>
  </si>
  <si>
    <t>Strong evidence for hardware-measured latency-aware compression on an edge board.</t>
  </si>
  <si>
    <t>The growing adoption of self-supervised learning transformers for speech (speech SSL) is constrained by their significant computational and memory demands, making deployment on resource-constrained edge devices challenging. We propose a latency-aware compression framework that integrates structured pruning and quantization to address these challenges. Guided by a latency model that considers the combined effects of pruning and quantization, our method dynamically identifies and removes less critical blocks while maintaining task performance, avoiding the inefficiencies of over-pruning and under-pruning seen in prior approaches. Unlike prior methods specialized in either post-training compression without fine-tuning data or in cases where fine-tuning data is available, our method is effective in both settings. Experimental results show that, in task-agnostic compression, our method achieves a 4.2× speedup on the Hikey970 edge development platform, outperforming previous task-agnostic pruning methods in most tasks, while requiring only 21–24 GPU hours—a 3× reduction compared to prior methods. Additionally, our method achieves a lower word error rate of 7.8% using task-specific pruning, while reducing computational overhead by approximately 19.4% in terms of GFLOPs compared to previous task-specific methods. Finally, our method consistently achieves higher accuracy than the state-of-the-art post-training compression approach across various latency speedup constraints, even without fine-tuning data.</t>
  </si>
  <si>
    <t>Directed role</t>
  </si>
  <si>
    <t>Targeted extraction</t>
  </si>
  <si>
    <t>Reason for complementary inclusion</t>
  </si>
  <si>
    <t>Assigned review role</t>
  </si>
  <si>
    <t>Specific contribution</t>
  </si>
  <si>
    <t>Target claim / section</t>
  </si>
  <si>
    <t>Hardware / architecture</t>
  </si>
  <si>
    <t>Model / task</t>
  </si>
  <si>
    <t>Validation type</t>
  </si>
  <si>
    <t>Key metrics</t>
  </si>
  <si>
    <t>Reproducibility evidence</t>
  </si>
  <si>
    <t>Limitations</t>
  </si>
  <si>
    <t>Full-text conference PDF supplied by user; pp. 1–6</t>
  </si>
  <si>
    <t>Selected record excluded from the 29-study core comparison and retained as complementary evidence for continual-learning trade-offs.</t>
  </si>
  <si>
    <t>Quantifies memory–latency–accuracy trade-offs for latent-replay continual learning and proposes an on-demand eight-core RISC-V extreme-edge architecture.</t>
  </si>
  <si>
    <t>2.8 cross-layer trade-offs and design patterns; 3.3 adaptation cost, continual learning, and energy; minimum reporting of update memory and latency.</t>
  </si>
  <si>
    <t>PULP/MrWolf-style MCU with a Fabric Controller, eight RISC-V cores with private FPUs, 64–256 KB shared L1 scratchpad, 256–1024 KB L2, external DRAM, external Flash, and DMA-managed tiling.</t>
  </si>
  <si>
    <t>MobileNetV1 continual object-class learning on CORe50 NICv2-391 using AR1 and Latent Replay.</t>
  </si>
  <si>
    <t>Partial-layer retraining, latent replay, Fisher-weighted updates, tensor tiling, eight-core data parallelism, DMA overlap, and power-gated on-demand cluster activation.</t>
  </si>
  <si>
    <t>PULP software stack and cycle-accurate simulator validated against RTL; external-memory management and C-level parallel kernels.</t>
  </si>
  <si>
    <t>Cycle-accurate architectural simulation with accuracy from the CORe50 continual-learning benchmark; energy estimated using measured MrWolf silicon power.</t>
  </si>
  <si>
    <t>Full retraining: 77.3% accuracy and 318 min for one class. Partial retraining: about 72.2–72.5%, ~70 MB RAM plus 200 MB replay Flash, and ~98 min. Last-layer-only: 58%, ~20 MB, and 867 ms. Platform is reported 25× faster than STM32L476 and 11× more energy efficient than a Snapdragon 845 scenario.</t>
  </si>
  <si>
    <t>Partial: public CORe50 benchmark, MobileNetV1/latent-replay methodology, architecture, memory model, and simulator basis are documented; code, simulator modifications, raw traces, and packaged models are not identified.</t>
  </si>
  <si>
    <t>The proposed end-to-end platform is simulated rather than fabricated; energy is estimated from a related MrWolf prototype. The 70 MB DRAM and 200 MB Flash requirements exceed conventional MCU-class memories.</t>
  </si>
  <si>
    <t>Architecture and memory model pp. 1–4; accuracy/memory/latency trade-offs pp. 4–5; energy estimate and conclusion pp. 5–6.</t>
  </si>
  <si>
    <t>Complete — complementary batch 1</t>
  </si>
  <si>
    <t>AI-powered edge devices currently lack the ability to adapt their embedded inference models to the ever-changing environment. To tackle this issue, Continual Learning (CL) strategies aim at incrementally improving the decision capabilities based on newly acquired data. In this work, after quantifying memory and computational requirements of CL algorithms, we define a novel HW/SW extreme-edge platform featuring a low power RISC-V octa-core cluster tailored for on-demand incremental learning over locally sensed data. The presented multi-core HW/SW architecture achieves a peak performance of 2.21 and 1.70 MAC/cycle, respectively, when running forward and backward steps of the gradient descent. We report the trade-off between memory footprint, latency, and accuracy for learning a new class with Latent Replay CL when targeting an image classification task on the CORe50 dataset. For a CL setting that retrains all the layers, taking 5h to learn a new class and achieving up to 77.3% of precision, a more efficient solution retrains only part of the network, reaching an accuracy of 72.5% with a memory requirement of 300 MB and a computation latency of 1.5 hours. On the other side, retraining only the last layer results in the fastest (867 ms) and less memory hungry (20 MB) solution but scoring 58% on the CORe50 dataset. Thanks to the parallelism of the low-power cluster engine, our HW/SW platform results 25x faster than typical MCU device, on which CL is still impractical, and demonstrates an 11x gain in terms of energy consumption with respect to mobile-class solutions.</t>
  </si>
  <si>
    <t>MLSys 2021 proceedings PDF supplied by user; pp. 1–16. Preprint flag retained pending bibliographic reconciliation.</t>
  </si>
  <si>
    <t>Pertinente, pero quedó fuera del límite configurado para la síntesis.</t>
  </si>
  <si>
    <t>Demonstrates differentiable neural architecture search under explicit SRAM, eFlash, and operation-count constraints, followed by physical TFLM deployment on commodity MCUs.</t>
  </si>
  <si>
    <t>2.1 evolution from handcrafted TinyML models toward hardware-aware NAS; 2.2 MCU resource envelopes; 2.4 hardware-aware optimization; 2.5 TFLM deployment; 2.6 measured benchmarking.</t>
  </si>
  <si>
    <t>STM32F446RE (Cortex-M4, 128 KB SRAM, 0.5 MB Flash), STM32F746ZG (Cortex-M7, 320 KB SRAM, 1 MB Flash), and STM32F767ZI (Cortex-M7, 512 KB SRAM, 2 MB Flash).</t>
  </si>
  <si>
    <t>MicroNet CNN families for visual wake words, Google Speech Commands keyword spotting, and MIMII anomaly detection.</t>
  </si>
  <si>
    <t>Differentiable NAS, operation count as a task/search-space-specific latency and energy proxy, explicit SRAM/eFlash constraints, depthwise-separable architectures, INT8 deployment, and experimental 4-bit kernels.</t>
  </si>
  <si>
    <t>TensorFlow Lite Micro with CMSIS-NN kernels; Mbed Timer API for latency; Qoitech Otii Arc for energy. Models and training scripts: https://github.com/ARM-software/ML-zoo</t>
  </si>
  <si>
    <t>Physical multi-MCU controlled benchmark with measured latency, memory, and energy.</t>
  </si>
  <si>
    <t>KWS accuracy 95.3–96.5%; VWW up to 88.03%; AD AUC 95.35–97.28%. Representative measured medium-MCU latency 0.079–1.133 s, SRAM 53.2–383.7 KB, Flash 102–833 KB, and energy 27.25–478.8 mJ depending on model/task.</t>
  </si>
  <si>
    <t>Strong/partial: public models and training scripts, benchmark datasets, hardware targets, runtime, timing method, and energy instrument are reported; raw power traces and full environment pinning are not identified.</t>
  </si>
  <si>
    <t>Operation count is not a universal layer-level latency predictor and is justified mainly within a fixed search space. Some table entries are estimated or unavailable due to memory limits; TFLM lacked RNN support in the evaluated stack.</t>
  </si>
  <si>
    <t>Abstract and platform framing pp. 1–3; measured latency/energy characterization pp. 4–5; NAS and benchmark results pp. 6–12; Appendix Table 4 pp. 14–15.</t>
  </si>
  <si>
    <t>Complete — complementary batch 1; source-version discrepancy logged</t>
  </si>
  <si>
    <t>Executing machine learning workloads locally on resource constrained microcontrollers (MCUs) promises to drastically expand the application space of IoT. However, so-called TinyML presents severe technical challenges, as deep neural network inference demands a large compute and memory budget. To address this challenge, neural architecture search (NAS) promises to help design accurate ML models that meet the tight MCU memory, latency and energy constraints. A key component of NAS algorithms is their latency/energy model, i.e., the mapping from a given neural network architecture to its inference latency/energy on an MCU. In this paper, we observe an intriguing property of NAS search spaces for MCU model design: on average, model latency varies linearly with model operation (op) count under a uniform prior over models in the search space. Exploiting this insight, we employ differentiable NAS (DNAS) to search for models with low memory usage and low op count, where op count is treated as a viable proxy to latency. Experimental results validate our methodology, yielding our MicroNet models, which we deploy on MCUs using Tensorflow Lite Micro, a standard open-source NN inference runtime widely used in the TinyML community. MicroNets demonstrate state-of-the-art results for all three TinyMLperf industry-standard benchmark tasks: visual wake words, audio keyword spotting, and anomaly detection. Models and training scripts can be found at github.com/ARM-software/ML-zoo.</t>
  </si>
  <si>
    <t>Full-text arXiv preprint supplied by user; pp. 1–7</t>
  </si>
  <si>
    <t>Introduces an analytical runtime framework that selects matrix-multiplication tile shapes, loop order, and streaming/stationary schedules to minimize external-memory traffic across TinyML hardware.</t>
  </si>
  <si>
    <t>2.2 memory hierarchy as a deployability constraint; 2.4 cross-layer optimization; 2.5 runtime/compiler scheduling; 2.6 measured energy and throughput.</t>
  </si>
  <si>
    <t>Arduino Nano 33 BLE/Cortex-M4 with 256 KB SRAM and 1 MB Flash; STM32F767ZI Nucleo/Cortex-M7 with roughly twice the M4 memory; Raspberry Pi 4/Cortex-A72.</t>
  </si>
  <si>
    <t>Matrix-multiplication kernels extracted from MLPerf Tiny neural-network layers and transformer matrices from the Deep Learning Matrix Collection.</t>
  </si>
  <si>
    <t>Roofline-guided arithmetic-intensity analysis, local-memory tiling, loop-order selection, data streaming/stationarity, packing avoidance, and hardware-specific C++ intrinsic kernels.</t>
  </si>
  <si>
    <t>MEMA C++ runtime generator compared with CMSIS-NN/CMSIS-DSP, Arm Performance Libraries, and Arm Compute Library. Code: https://github.com/vnatesh/MEMA-MM</t>
  </si>
  <si>
    <t>Physical multi-platform kernel benchmark; direct energy measurement on Cortex-M4 with a Monsoon Low-Voltage Power Monitor.</t>
  </si>
  <si>
    <t>On Cortex-M4 MLPerf Tiny matrices, up to 1.8× throughput and 44% lower energy than CMSIS-NN. For Q15 kernels, up to 20% higher throughput and 23% lower energy. Energy samples were collected every 200 µs and averaged over hundreds of trials.</t>
  </si>
  <si>
    <t>Strong/partial: public source code, named boards, matrix sources, runtime comparisons, and energy instrumentation are reported; raw power traces and exact full software environments are not identified.</t>
  </si>
  <si>
    <t>Evaluation centers on matrix-multiplication kernels rather than complete end-to-end inference pipelines. Energy is measured only on the representative Cortex-M4; the paper remains a preprint.</t>
  </si>
  <si>
    <t>Framework and analytical method pp. 1–4; hardware and measurement setup pp. 4–5; benchmark results and conclusion pp. 5–7.</t>
  </si>
  <si>
    <t>We present the MEMA framework for the easy and quick derivation of efficient inference runtimes that minimize external memory accesses for matrix multiplication on TinyML systems. The framework accounts for hardware resource constraints and problem sizes in analytically determining optimized schedules and kernels that minimize memory accesses. MEMA provides a solution to a well-known problem in the current practice, that is, optimal schedules tend to be found only through a time consuming and heuristic search of a large scheduling space. We compare the performance of runtimes derived from MEMA to existing state-of-the-art libraries on ARM-based TinyML systems. For example, for neural network benchmarks on the ARM Cortex-M4, we achieve up to a 1.8x speedup and 44% energy reduction over CMSIS-NN.</t>
  </si>
  <si>
    <t>Full-text journal PDF supplied by user; pp. 1–39</t>
  </si>
  <si>
    <t>Synthesizes embedded neural-network optimization, architectures, hardware, runtimes, and benchmarking, then converts recurring evidence into an iterative five-stage deployment methodology.</t>
  </si>
  <si>
    <t>2.1 scope and evolution; 2.2 hardware taxonomy; 2.4 optimization; 2.5 deployment ecosystems; 2.6 benchmarking; 2.7 review transparency; 2.8 iterative cross-layer co-design.</t>
  </si>
  <si>
    <t>Review covers MCUs, CPUs, GPUs, NPUs, Edge TPUs, FPGAs, and heterogeneous embedded platforms; no original hardware implementation.</t>
  </si>
  <si>
    <t>Review covers CNNs, RNNs, Transformers, compact networks, feedforward networks, object detection, vision, audio, and sequential tasks.</t>
  </si>
  <si>
    <t>Quantization, pruning, knowledge distillation, tensor factorization, hashing, hybrid compression, NAS, hardware acceleration, software optimization, and emerging low-precision techniques.</t>
  </si>
  <si>
    <t>Reviews TFLite/TFLM, ONNX Runtime, CMSIS-NN, PyTorch, TVM/MATCH, DeepliteRT, eIQ, OpenVINO, and platform-specific ecosystems; proposes a five-stage workflow from requirements through final validation.</t>
  </si>
  <si>
    <t>PRISMA-aligned systematic review of 60 studies; no original experimental benchmark. Protocol prospectively registered in OSF.</t>
  </si>
  <si>
    <t>Search: 1020 records, 70 duplicates removed, 950 screened, 240 full texts assessed, 60 included. Proposed stages: requirements/constraints, architecture/base-model selection, optimization cycle, deployment-ecosystem selection, and benchmark-driven final validation with feedback loops.</t>
  </si>
  <si>
    <t>Strong/partial review reproducibility: databases, Boolean query, exclusions, inclusion criteria, PRISMA diagram/checklist, and OSF protocol DOI 10.17605/OSF.IO/GNRH4 are reported. Risk of bias/certainty was not formally assessed, and no machine-readable extraction dataset or review code is identified.</t>
  </si>
  <si>
    <t>The review excludes simulation-only and non-quantitative studies, which narrows architectural coverage. It does not formally assess study quality or certainty, and its illustrative methodology/case study should not be treated as original hardware evidence.</t>
  </si>
  <si>
    <t>Search protocol and PRISMA pp. 2–4; architectures/platforms pp. 14–24; five-stage methodology pp. 25–31; discussion, agenda, and conclusion pp. 32–36.</t>
  </si>
  <si>
    <t>Complete — complementary batch 4; non-empirical review</t>
  </si>
  <si>
    <t>The growing demand for intelligent and autonomous devices has accelerated the integration of neural networks into embedded systems, a paradigm known as Edge AI. While this approach enables real-time, low-latency processing with improved privacy, it remains constrained by strict limitations in memory, computation and energy. This paper presents a systematic review, aligned with PRISMA principles, that examines the current landscape of deep learning deployment on embedded hardware. The review analyzes key optimization techniques—including pruning, quantization and inference-level improvements—together with lightweight architectures such as CNNs, RNNs and compact networks, as well as a diverse ecosystem of hardware platforms and software frameworks. From the recurring patterns identified in the literature, we derive a practical five-stage methodology that guides developers through requirement definition, model selection, optimization, hardware alignment and deployment. Unlike existing surveys that mainly provide descriptive taxonomies, this methodology offers a structured and reproducible workflow explicitly designed to support multi-objective trade-offs in resource-constrained environments. The review also identifies emerging trends such as TinyML and hybrid architectures and highlights persistent gaps, including limited support for ultra-low-precision inference, variability in hardware toolchains and the absence of standardized holistic benchmarking. By synthesizing these insights into a coherent framework, this work aims to facilitate more efficient, robust and scalable Edge AI implementations.</t>
  </si>
  <si>
    <t>Full-text journal PDF supplied by user; pp. 1–22</t>
  </si>
  <si>
    <t>Integrates sensitivity-guided mixed-precision pruning and distillation, activation-lifetime scheduling, and reinforcement-learning DVFS into one deployment pipeline for MCU inference.</t>
  </si>
  <si>
    <t>2.4 cross-layer optimization and hardware–software co-design; 2.5 TFLM/CMSIS-NN deployment; 2.6 measured MCU benchmarking; 2.8 coupled accuracy–memory–latency–energy trade-offs.</t>
  </si>
  <si>
    <t>STM32H743ZI, Arm Cortex-M7 at up to 480 MHz, 512 kB SRAM, and 2 MB Flash; four DVFS points from 120 MHz/0.90 V to 480 MHz/1.20 V.</t>
  </si>
  <si>
    <t>Four MLPerf Tiny tasks: CIFAR-10 image classification CNN, DS-CNN keyword spotting, MobileNet-style visual wake words, and fully connected anomaly-detection autoencoder.</t>
  </si>
  <si>
    <t>MPAD per-layer mixed precision, structured pruning, distillation, ALTS tensor-lifetime scheduling, and offline tabular Q-learning for DVFS; final Q-table occupies 2 kB Flash.</t>
  </si>
  <si>
    <t>TensorFlow Lite Micro with CMSIS-NN; Arm GCC 12.3 with -O3 and Cortex-M7 flags; Nordic Power Profiler Kit II at 1 kHz; 100 warmups and 1000 measured inferences.</t>
  </si>
  <si>
    <t>Physical STM32H743ZI controlled benchmark with five training seeds and repeated latency/energy measurements.</t>
  </si>
  <si>
    <t>CLRO: IC 91.7%, KWS 95.4%, VWW 89.6%, AD AUC 0.913; 198 kB model, 174 kB peak SRAM, 3.8 M VWW MACs, 387±9 µJ/inference, and 38±1.1 ms. Reported reductions versus MCUNet include 58.1% energy and 39% peak SRAM.</t>
  </si>
  <si>
    <t>Partial: models, training settings, compiler/runtime, DVFS points, measurement instrument, sampling, warmups, and repetitions are documented. Supporting data are available only on request; no public code, firmware, model package, or raw traces are identified.</t>
  </si>
  <si>
    <t>Single high-end Cortex-M7 target; portability to smaller MCUs is not tested. Baseline source availability varies, and the public artifact trail is weak despite detailed experimental reporting.</t>
  </si>
  <si>
    <t>Framework and reproducibility settings pp. 8–12; experimental setup and Tables 1–4 pp. 13–14; resource results and Tables 5–8 pp. 15–19; availability p. 21.</t>
  </si>
  <si>
    <t>Complete — complementary batch 2</t>
  </si>
  <si>
    <t>Running neural networks on battery-powered Internet of Things (IoT) sensor nodes is difficult because flash memory, SRAM, latency, and energy per inference are limited at the same time. Existing TinyML co-design methods usually improve model size or memory use, but runtime voltage–frequency control is often handled as a separate step. This separation limits energy saving because the power policy does not use the layer-wise compute profile of the final compressed model. We propose the Cross-Layer Resource Optimizer (CLRO), a three-stage resource optimization pipeline for TinyML inference on an ARM Cortex-M7 target. The first stage, Mixed-Precision Aware Pruning and Distillation (MPAD), assigns per-layer bit widths and pruning ratios using calibration-set sensitivity scores. The second stage, consisting of the Activation Lifetime-Aware Tensor Scheduler (ALTS), uses the compressed graph to find an execution order that reduces peak live static random-access memory (SRAM). The third stage, Reinforcement Learning-Based Dynamic Voltage and Frequency Scaling (DVFS-RL), trains a tabular Q-learning policy from the multiply–accumulate (MAC) utilization profile of the compressed and scheduled model. The learned voltage–frequency policy is stored as a small flash lookup table, so it adds no runtime decision cost during inference. We evaluate the CLRO on all four MLPerf Tiny tasks using an STM32H743ZI microcontroller with 512 kB SRAM and 2 MB flash. The CLRO reaches 91.7% image classification accuracy, 95.4% keyword-spotting accuracy, 89.6% visual wake words accuracy, and 0.913 anomaly detection AUC. The final deployment uses 198 kB flash and 174 kB peak SRAM, with 387 μJ energy per inference and 38 ms latency. Compared with the MCUNet baseline, the CLRO reduces energy by 58.1% and peak SRAM by 39% while keeping the same accuracy level.</t>
  </si>
  <si>
    <t>Full-text journal PDF supplied by user; pp. 1–43</t>
  </si>
  <si>
    <t>Provides a domain-specific systematic synthesis of TinyML in Industrial IoT across applications, hardware/framework/sensor components, datasets, model families, optimization, validation metrics, and research gaps.</t>
  </si>
  <si>
    <t>2.1 industrial TinyML scope; 2.2 MCU ecosystems; 2.3 tasks and sensing modalities; 2.4 optimization; 2.5 frameworks; 2.6 reporting gaps; 2.7 review methodology and reproducibility.</t>
  </si>
  <si>
    <t>Included studies span nRF52, STM32, ESP32/ESP8266, vision accelerators, and heterogeneous multiprocessor platforms; vibration/motion sensing dominates, with vision, acoustic, electrical, chemical, and environmental sensors.</t>
  </si>
  <si>
    <t>Predictive maintenance, condition monitoring, anomaly detection, quality inspection, energy management, and general-purpose IIoT; CNNs dominate, with classical ML/MLP, recurrent, hybrid, federated, continual, and meta-learning approaches.</t>
  </si>
  <si>
    <t>Quantization and pruning dominate; approximate computing, meta-learning, reinforcement learning, metaheuristics, federated/continual learning, and architecture-level techniques appear less frequently.</t>
  </si>
  <si>
    <t>TensorFlow Lite Micro, Edge Impulse, CMSIS-NN, custom toolchains, direct C/C++, and application-specific pipelines.</t>
  </si>
  <si>
    <t>PRISMA-aligned systematic literature review of 35 peer-reviewed empirical studies; no original hardware experiment or meta-analysis.</t>
  </si>
  <si>
    <t>Search: 369 records, 108 after title screening, 41 full texts assessed, and 35 included. Four databases were searched between 17 December 2025 and 16 March 2026. Accuracy is common, while energy and memory reporting are inconsistent; most deployments remain prototypes or laboratory-scale systems.</t>
  </si>
  <si>
    <t>Partial/strong review transparency: research questions, databases, date range, Boolean query, inclusion/exclusion criteria, PRISMA flow, and extraction dimensions are reported. No public extraction dataset, screening decisions, protocol registration, or review code is identified.</t>
  </si>
  <si>
    <t>Keyword/database dependence, possible omissions, heterogeneous tasks/metrics preventing meta-analysis, small domain-specific datasets, incomplete hardware/energy reporting, and limited large-scale industrial validation.</t>
  </si>
  <si>
    <t>Research questions pp. 6–7; protocol and search pp. 9–13; hardware/framework/sensor taxonomy pp. 25–29; models/optimization pp. 29–33; gaps, limitations, and conclusions pp. 34–40.</t>
  </si>
  <si>
    <t>Tiny Machine Learning (TinyML) enables Machine Learning (ML) models to run on resource-constrained devices, which is critical for Industrial Internet of Things (IIoT) systems requiring low latency, energy efficiency, and local decision-making. Nevertheless, deploying TinyML in IIoT remains challenging due to diverse applications, hardware, frameworks, and deployment methodologies, highlighting the need for a structured and focused review. Existing review articles mainly address general IoT or edge AI, leaving a critical gap in a unified and systematic understanding of TinyML applications, system components, and methodologies within IIoT contexts. Consequently, this systematic literature review (SLR) addresses this gap by analyzing 35 peer-reviewed studies published between 2018 and 2026, offering a comprehensive and structured synthesis of TinyML-enabled IIoT systems. The selected works are synthesized across three major dimensions: applications, system components, and methodologies. In terms of applications, TinyML is primarily used for predictive maintenance, equipment monitoring, anomaly detection, energy management, and general-purpose applications. The general category captures cross-domain solutions that do not fit into a single industrial application. A comparative analysis of all application categories is conducted in terms of accuracy, latency, memory, and energy. For system components, a structured comparison shows how hardware, software, and sensing choices shape performance and applicability. Hardware platforms are grouped by microcontroller families, highlighting dominant types. Software frameworks are summarized, showing the widespread use of lightweight toolchains for on-device inference. Sensor types are categorized, with vibration sensing most common. They are supported by other sensing methods such as vision, sound (acoustic), and environmental sensors. Finally, the methodologies examined in this SLR provide a comprehensive view of the data foundations, model selection, and optimization strategies. In short, this SLR converges diverse TinyML–IIoT applications, microcontroller-based hardware, lightweight software frameworks, sensing modalities, varied datasets, and optimization strategies, while also identifying challenges and future research directions.</t>
  </si>
  <si>
    <t>Full-text journal PDF supplied by user; pp. 1–16</t>
  </si>
  <si>
    <t>Demonstrates a target-environment-in-the-loop workflow that combines compact INT8 CNNs, physical multi-MCU deployment, closed-loop imitation learning, and runtime model selection for robust autonomous mini-vehicle control.</t>
  </si>
  <si>
    <t>2.4 quantization and adaptive model selection; 2.5 CMSIS-NN, X-CUBE-AI, and PULP/GAP8 deployment; 2.6 physical field/laboratory validation; 2.8 accuracy–latency–energy and robustness trade-offs; 3.2 distribution shift.</t>
  </si>
  <si>
    <t>Physical NXP Cup mini-vehicle with one-dimensional grayscale cameras; NXP K64F at 120 MHz, STM32L476 at 80 MHz, and GAP8 at 50 MHz with one RISC-V control core, eight-core cluster, 512 kB L2, and 64 kB L1.</t>
  </si>
  <si>
    <t>LeNet5 and four vehicle neural networks (VNN1–VNN4) for seven-command road-scene classification; a lightweight decision-tree predictor selects VNN1 or VNN4 at runtime.</t>
  </si>
  <si>
    <t>Topology reduction, fixed-point INT8 post-training quantization, GAP8 multi-core SIMD acceleration, closed-loop offline imitation learning from a computer-vision expert, and input-dependent model switching.</t>
  </si>
  <si>
    <t>CMSIS-NN on NXP K64F, X-CUBE-AI on STM32L476, and the GAP8/PULP optimized neural-network software stack. Public models and datasets: https://github.com/praesc/Robust-navigation-with-TinyML</t>
  </si>
  <si>
    <t>Physical mini-vehicle and multi-MCU controlled track deployment under changing lighting conditions, with directly measured latency and energy.</t>
  </si>
  <si>
    <t>Closed-loop VNN4 on GAP8: 97.4% accuracy, 0.91 ms, and 18.9 µJ. Runtime VNN1/VNN4 predictor: 96.2%, 0.37 ms, and 7.6 µJ. Baseline LeNet5 on NXP: 81.3%, 5.4 ms, and 302 µJ. VNN2 on GAP8 reaches 3.9 µJ; the predictor saves about 2.5× energy with a 1.2-point accuracy loss in the final comparison.</t>
  </si>
  <si>
    <t>Strong/partial: public datasets/models, architectures, quantization, hardware platforms, runtimes, track setup, and detailed latency/energy tables are supplied. Complete firmware, raw power traces, retraining scripts, and build-version pinning were not independently audited.</t>
  </si>
  <si>
    <t>Controlled small-scale track, one-dimensional camera, and a conventional computer-vision teacher limit external generalization. Adaptation requires offline host retraining; the paper's Data Availability statement says not applicable despite a public model/dataset repository.</t>
  </si>
  <si>
    <t>Use case and closed-loop design pp. 2–4; model family and repository pp. 6–7; GAP8 and learning flow pp. 7–10; multi-MCU energy/latency results pp. 12–14.</t>
  </si>
  <si>
    <t>Complete — complementary batch 3</t>
  </si>
  <si>
    <t>Standard-sized autonomous vehicles have rapidly improved thanks to the breakthroughs of deep learning. However, scaling autonomous driving to mini-vehicles poses several challenges due to their limited on-board storage and computing capabilities. Moreover, autonomous systems lack robustness when deployed in dynamic environments where the underlying distribution is different from the distribution learned during training. To address these challenges, we propose a closed-loop learning flow for autonomous driving mini-vehicles that includes the target deployment environment in-the-loop. We leverage a family of compact and high-throughput tinyCNNs to control the mini-vehicle that learn by imitating a computer vision algorithm, i.e., the expert, in the target environment. Thus, the tinyCNNs, having only access to an on-board fast-rate linear camera, gain robustness to lighting conditions and improve over time. Moreover, we introduce an online predictor that can choose between different tinyCNN models at runtime—trading accuracy and latency—which minimises the inference’s energy consumption by up to 3.2×. Finally, we leverage GAP8, a parallel ultra-low-power RISC-V-based micro-controller unit (MCU), to meet the real-time inference requirements. When running the family of tinyCNNs, our solution running on GAP8 outperforms any other implementation on the STM32L4 and NXP k64f (traditional single-core MCUs), reducing the latency by over 13× and the energy consumption by 92%.</t>
  </si>
  <si>
    <t>Full-text journal PDF supplied by user; pp. 1–12</t>
  </si>
  <si>
    <t>Presents a configurable embedded-AI processor using parallel neuron cells and a dedicated protocol to offload repetitive learning and recognition from the system core.</t>
  </si>
  <si>
    <t>2.1 early embedded-AI processors; 2.2 specialized FPGA architectures; 2.3 conventional ML on edge hardware; 2.8 flexibility versus fixed-function acceleration.</t>
  </si>
  <si>
    <t>Cyclone-IV FPGA on Intel DE2-115 for application prototyping and Intel MAX10 FPGA for the integrated prototype; configurable neuron core with N-cells and vector memories.</t>
  </si>
  <si>
    <t>Hardware-optimized k-nearest neighbor and radial-basis-function neural network; audio classification, digit classification, and three-class facial-expression recognition.</t>
  </si>
  <si>
    <t>Manhattan distance replaces Euclidean distance to eliminate multipliers; thresholded RBF matching, parallel neuron computation, configurable N-cell/vector dimensions, and serial protocol integration.</t>
  </si>
  <si>
    <t>Custom simulator, FPGA logic, dedicated learning/recognition protocol, SPI interface, and host-side preprocessing/library; exact HDL/tool versions are not reported.</t>
  </si>
  <si>
    <t>Algorithm-level simulation plus physical FPGA prototype and live camera demonstration.</t>
  </si>
  <si>
    <t>Simulator accuracy exceeds 95% in selected configurations. Facial-expression recognition reports 90.19% with 36 samples and k-fold validation. A 1024-byte test vector is recognized in about 1 ms at 50 MHz; the prototype supports up to 88 MHz.</t>
  </si>
  <si>
    <t>Partial/weak: architecture, datasets' preprocessing, FPGA boards, protocol, and application flow are described; HDL, code, datasets, build settings, and measurement artifacts are not publicly identified.</t>
  </si>
  <si>
    <t>The facial-expression dataset is very small; no direct power or energy measurement substantiates the low-power claim; accuracy varies strongly with N-cell and vector configuration.</t>
  </si>
  <si>
    <t>Algorithms and architecture pp. 2–5; simulator results pp. 6–7; FPGA application and timing pp. 7–9; conclusion pp. 9–10.</t>
  </si>
  <si>
    <t>The development of computation technology and artificial intelligence (AI) field brings about AI to be applied to various system. In addition, the research on hardware-based AI processors leads to the minimization of AI devices. By adapting the AI device to the edge of internet of things (IoT), the system can perform AI operation promptly on the edge and reduce the workload of the system core. As the edge is influenced by the characteristics of the embedded system, implementing hardware which operates with low power in restricted resources on a processor is necessary. In this paper, we propose the intellino, a processor for embedded artificial intelligence. Intellino ensures low power operation based on optimized AI algorithms and reduces the workload of the system core through the hardware implementation of a neural network. In addition, intellino’s dedicated protocol helps the embedded system to enhance the performance. We measure intellino performance, achieving over 95% accuracy, and verify our proposal with an field programmable gate array (FPGA) prototyping.</t>
  </si>
  <si>
    <t>Full-text journal PDF supplied by user; pp. 4262–4276</t>
  </si>
  <si>
    <t>Enables cross-provider, cross-model task-oriented communication through server-side linear feature transformations or on-device relative representations derived from shared anchor data.</t>
  </si>
  <si>
    <t>2.4 feature-space alignment; 2.5 device–server co-inference and task-oriented communication; 2.6 communication/runtime overhead; 2.8 interoperability, communication, and model-compatibility trade-offs.</t>
  </si>
  <si>
    <t>Conceptual edge-device encoder and edge-server classifier; VGG-based, ResNet-based, and mixed split architectures. No physical edge platform is reported.</t>
  </si>
  <si>
    <t>Image classification on SVHN, CIFAR-10, and Tiny-ImageNet-200 using independently trained VGG/ResNet/mixed device–server models.</t>
  </si>
  <si>
    <t>Least-squares, MMSE, and single-layer-MLP server alignment; cosine-similarity relative representation for zero-runtime on-device alignment; compact anchor sets and 16-dimensional transmitted features.</t>
  </si>
  <si>
    <t>Simulation/software evaluation with public source code at https://github.com/SongjieXie/feature-alignment-TOC; specific hardware and complete software environment are not reported.</t>
  </si>
  <si>
    <t>Simulation-based cross-model inference, AWGN-channel, anchor-size, runtime, memory, and computation analysis; no physical communication or edge-device experiment.</t>
  </si>
  <si>
    <t>Unaligned cross-model accuracy is commonly below 20%; proposed alignments outperform fine-tuning by more than 10 points, and Tiny-ImageNet retains a gap of only about 3 points from native ResNet models. With d=16, simulated transmission latency is 1.67 ms at 9600 baud; nτ=32 relative features require 3.33 ms. Alignment runtime: FT 521–971 ms, OS-MLP about 25 ms, OS-LS 0.36–0.39 ms, OS-MMSE 0.56–0.60 ms, and on-device alignment 0 ms. Server aligners add only 256 parameters/1 kB versus FT's 10,432 parameters/40.75 kB.</t>
  </si>
  <si>
    <t>Strong/partial: public code, public datasets, architecture classes, feature dimension, anchor counts, channel settings, algorithms, and runtime/resource tables are provided. Hardware, environment pinning, and raw experimental outputs are not identified.</t>
  </si>
  <si>
    <t>All deployment and channel results are simulations; runtime hardware is unspecified. Shared anchor data, matched feature dimensions, and train/test channel conditions are assumed, while security and adversarial robustness remain open.</t>
  </si>
  <si>
    <t>System/alignment formulation pp. 4264–4269; datasets, architecture, and source code pp. 4269–4270; accuracy and SNR results pp. 4270–4272; runtime/memory Tables V–VI pp. 4272–4273.</t>
  </si>
  <si>
    <t>Task-oriented communication presents a promising approach to improve the communication efficiency of edge inference systems by optimizing learning-based modules to extract and transmit relevant task information. However, real-time applications face practical challenges, such as incomplete coverage and potential malfunctions of edge servers. This situation necessitates cross-model communication between different inference systems, enabling edge devices from one service provider to collaborate effectively with edge servers from another. Independent optimization of diverse edge systems often leads to incoherent feature spaces, which hinders the cross-model inference for existing task-oriented communication. To facilitate and achieve effective cross-model task-oriented communication, this study introduces a novel framework that utilizes shared anchor data across diverse systems. This approach addresses the challenge of feature alignment in both server-based and on-device scenarios. In particular, by leveraging the linear invariance of visual features, we propose efficient server-based feature alignment techniques to estimate linear transformations using encoded anchor data features. For on-device alignment, we exploit the angle-preserving nature of visual features and propose to encode relative representations with anchor data to streamline cross-model communication without additional alignment procedures during the inference. The experimental results on computer vision benchmarks demonstrate the superior performance of the proposed feature alignment approaches in cross-model task-oriented communications. The runtime and computation overhead analysis further confirm the effectiveness of the proposed feature alignment approaches in real-time applications.</t>
  </si>
  <si>
    <t>Full-text journal PDF supplied by user; pp. 1–36</t>
  </si>
  <si>
    <t>Provides hardware-measured energy, output-accuracy, throughput, and latency comparisons for 28 weight-only quantized LLM variants on commodity Raspberry Pi edge hardware.</t>
  </si>
  <si>
    <t>2.1 transition toward Edge GenAI; 2.3 compact language models; 2.4 quantization trade-offs; 2.6 direct whole-device energy measurement; 2.8 task-specific Pareto selection.</t>
  </si>
  <si>
    <t>Primary Raspberry Pi 4 with 4 GB RAM, quad-core Cortex-A72 at 1.5 GHz and 64-bit Linux; supplementary Raspberry Pi 5 with 8 GB RAM.</t>
  </si>
  <si>
    <t>Llama 3.2 1.2B, Qwen 2.5 0.5B/1.5B, and Gemma 2 2.6B across FP16, Q8, Q4, and Q3 Ollama/llama.cpp formats; CommonsenseQA, BIG-Bench Hard, TruthfulQA, GSM8K, and HumanEval.</t>
  </si>
  <si>
    <t>Post-training weight-only quantization from FP16 to 8-, 4-, and 3-bit families; task-specific energy–accuracy Pareto analysis.</t>
  </si>
  <si>
    <t>Ollama/llama.cpp-based inference; Joulescope precision power analyzer at 2 MHz with accumulated energy logged at 2 Hz; automated experiment and evaluation scripts.</t>
  </si>
  <si>
    <t>Physical whole-device energy and inference benchmark on Raspberry Pi 4; supplementary lower-resolution energy measurements on Raspberry Pi 5.</t>
  </si>
  <si>
    <t>Qwen2.5-0.5B averages 2.61±1.49 J/token and 58.83 J/response. Q8 reduces response energy by 52% for Llama3.2-1B and 54% for Qwen2.5-0.5B versus FP16. Qwen2.5-0.5B reaches 3.2–10.1 tokens/s and 17.88 s average latency; its Q8 variant averages 9.84 s. Quantization reduces latency by up to 69%, but Q3 is not consistently faster or more accurate than Q4/Q8.</t>
  </si>
  <si>
    <t>Strong/partial: public benchmark datasets, sampled-task counts, prompts, scripts, model names, quantization formats, hardware, power instrumentation, and an experiment repository citation are provided. Repository address/version pinning and raw Joulescope traces were not independently audited.</t>
  </si>
  <si>
    <t>Primary conclusions are based on one Raspberry Pi 4 and PTQ weight-only formats. Whole-device energy is sensitive to thermal state, background processes, response length, and timeout handling; results do not generalize directly to MCUs, NPUs, QAT, or activation quantization.</t>
  </si>
  <si>
    <t>Measurement setup and datasets pp. 7–10; models and experiment execution pp. 10–12; energy and accuracy results pp. 12–23; latency pp. 24–26; validity threats pp. 26–27; supplementary Pi 5 pp. 27–29.</t>
  </si>
  <si>
    <t>Deploying Large Language Models (LLMs) on edge devices presents significant challenges due to computational constraints, memory limitations, inference speed, and energy consumption. Model quantization has emerged as a key technique to enable efficient LLM inference by reducing model size and computational overhead. In this study, we conduct a comprehensive analysis of 28 quantized LLMs from the Ollama library, which applies by default Post-Training Quantization (PTQ) and weight-only quantization techniques, deployed on an edge device (Raspberry Pi 4 with 4 GB RAM). We evaluate energy efficiency, inference performance, and output accuracy across multiple quantization levels and task types. Models are benchmarked on five standardized datasets (CommonsenseQA, BIG-Bench Hard, TruthfulQA, GSM8K, and HumanEval), and we employ a high-resolution, hardware-based energy measurement tool to capture real-world power consumption. Our findings reveal the trade-offs between energy efficiency, inference speed, and accuracy in different quantization settings, highlighting configurations that optimize LLM deployment for resource-constrained environments. By integrating hardware-level energy profiling with LLM benchmarking, this study provides actionable insights for sustainable AI, bridging a critical gap in existing research on energy-aware LLM deployment.</t>
  </si>
  <si>
    <t>Full-text conference PDF supplied by user; pp. 1–5</t>
  </si>
  <si>
    <t>Uses a compact auxiliary head to recover predictive performance after removing complete trailing network blocks, enabling dense deployable models without sparse-hardware support.</t>
  </si>
  <si>
    <t>2.4 structured depth pruning; 2.5 TFLite Micro deployment; 2.6 measured Cortex-M0 size/latency trade-offs; 2.8 accuracy versus depth/resource reduction.</t>
  </si>
  <si>
    <t>Arducam Pico4ML with Arm Cortex-M0; physical on-device deployment through TensorFlow Lite Micro.</t>
  </si>
  <si>
    <t>MobileNetV1 on MLPerf Tiny visual wake words and DS-CNN on keyword spotting; VWW is retrained with grayscale input because of device limits.</t>
  </si>
  <si>
    <t>Depth pruning, frozen or unfrozen retained tail, compact auxiliary network, integer post-training quantization, and LFBE preprocessing for optimized KWS deployment.</t>
  </si>
  <si>
    <t>TensorFlow 2 training, TensorFlow Lite Micro deployment, and public training/pruning code at https://github.com/jd-deleon/depth-pruning-auxnets</t>
  </si>
  <si>
    <t>Physical Cortex-M0 inference benchmark plus offline predictive/pruning experiments.</t>
  </si>
  <si>
    <t>VWW block-6 pruning reduces model size from 336 to 71 kB (4.7×) and latency from 904 to 551 ms (1.6×), while accuracy rises from 80% to 81%; the selected point removes 93% of parameters and 51% of FLOPs. KWS block-2 pruning reduces 54 to 43 kB and 340 to 275 ms at a 2.21 percentage-point accuracy cost.</t>
  </si>
  <si>
    <t>Strong/partial: public code, standard datasets, model families, training schedules, auxiliary architecture, MCU target, runtime, and headline results are documented. Firmware binaries, repeated timing distributions, and energy traces are not identified.</t>
  </si>
  <si>
    <t>Only two compact CNN tasks and one Cortex-M0 board are evaluated. Energy savings are inferred from reduced computation/latency but not directly measured; uncertainty and repeated-device results are not reported.</t>
  </si>
  <si>
    <t>Method and public code pp. 2–3; pruning experiments and Figures 3–5 pp. 3–4; physical Cortex-M0 results and Figures 6–7 pp. 4–5.</t>
  </si>
  <si>
    <t>Pruning is a neural network optimization technique that sacrifices accuracy in exchange for lower computational requirements. Pruning has been useful when working with extremely constrained environments in tinyML. Unfortunately, special hardware requirements and limited study on its effectiveness on already compact models prevent its wider adoption. Depth pruning is a form of pruning that requires no specialized hardware but suffers from a large accuracy falloff. To improve this, we propose a modification that utilizes a highly efficient auxiliary network as an effective interpreter of intermediate feature maps. Our results show a parameter reduction of 93% on the MLPerfTiny Visual Wakewords (VWW) task and 28% on the Keyword Spotting (KWS) task with accuracy cost of 0.65% and 1.06% respectively. When evaluated on a Cortex-M0 microcontroller, our proposed method reduces the VWW model size by 4.7x and latency by 1.6x while counter intuitively gaining 1% accuracy. KWS model size on Cortex-M0 was also reduced by 1.2x and latency by 1.2x at the cost of 2.21% accuracy.</t>
  </si>
  <si>
    <t>Full-text conference PDF supplied by user; pp. 1–4</t>
  </si>
  <si>
    <t>Generates model-specialized dense convolution kernels and omits low-significance MAC operations to expose configurable accuracy–latency trade-offs on an MCU.</t>
  </si>
  <si>
    <t>2.4 approximate computing and kernel specialization; 2.5 CMSIS-NN/X-CUBE-AI/custom generation; 2.6 physical MCU latency, Flash, and energy results.</t>
  </si>
  <si>
    <t>STM32U575ZI-Q / STM32U575ZIT6Q, Arm Cortex-M33 at 160 MHz, 2 MB Flash, and 768 kB RAM.</t>
  </si>
  <si>
    <t>INT8 post-training-quantized LeNet and AlexNet image classifiers on CIFAR-10 with 32×32 inputs.</t>
  </si>
  <si>
    <t>Layer-based fixed-weight code unpacking into Flash, offline significance analysis, operation-level computation skipping, and design-space/Pareto exploration over more than 10,000 configurations per CNN.</t>
  </si>
  <si>
    <t>Custom ATAMAN code generator, CMSIS-NN baseline, and X-CUBE-AI comparison. Public toolkit: https://github.com/GeorgeMentzos/ATAMAN-AuTo-driven-Approximation-and-Microcontroller-AcceleratioN-Toolkit</t>
  </si>
  <si>
    <t>Physical STM32U575 controlled benchmark; energy values are reported but the measurement method is not documented.</t>
  </si>
  <si>
    <t>At zero accuracy loss, LeNet reports 71.6%, 72.7 ms, 761 kB Flash, 3.3 M MACs, and 2.40 mJ versus CMSIS-NN 82.8 ms/239 kB/4.5 M/2.73 mJ. AlexNet reports 72.4%, 124.8 ms, 1080 kB, 7.5 M MACs, and 4.12 mJ versus CMSIS-NN 179.9 ms/267 kB/16.1 M/5.94 mJ. Average latency reduction is 21% without accuracy loss and 36% near 10% loss.</t>
  </si>
  <si>
    <t>Strong/partial: public toolkit, target board, models, dataset, precision, DSE ranges, baseline frameworks, and full headline table are provided. Exact build environment, firmware release, raw timings, and energy instrumentation are not reported.</t>
  </si>
  <si>
    <t>The approach spends substantially more Flash to reduce latency, targets only convolution layers and two CIFAR-10 CNNs, and lacks a documented energy-measurement protocol. Its benefit depends on unused Flash capacity.</t>
  </si>
  <si>
    <t>Framework and repository p. 1; model/board setup and approximation method pp. 2–3; Table II and discussion pp. 3–4.</t>
  </si>
  <si>
    <t>The rapid growth of microcontroller-based IoT devices has opened up numerous applications, from smart manufacturing to personalized healthcare. Despite the widespread adoption of energy-efficient microcontroller units (MCUs) in the Tiny Machine Learning (TinyML) domain, they still face significant limitations in terms of performance and memory (RAM, Flash). In this work, we combine approximate computing and software kernel design to accelerate the inference of approximate CNN models on MCUs. Our kernel-based approximation framework firstly unpacks the operands of each convolution layer and then conducts an offline calculation to determine the significance of each operand. Subsequently, through a design space exploration, it employs a computation skipping approximation strategy based on the calculated significance. Our evaluation on an STM32-Nucleo board and 2 popular CNNs trained on the CIFAR-10 dataset shows that, compared to state-of-the-art exact inference, our Pareto optimal solutions can feature on average 21% latency reduction with no degradation in Top-1 classification accuracy, while for lower accuracy requirements, the corresponding reduction becomes even more pronounced.</t>
  </si>
  <si>
    <t>Full-text conference PDF supplied by user; pp. 1–9</t>
  </si>
  <si>
    <t>Introduces filterlet-level pruning together with a compact storage format, latency-aware pruning scheduler, and Helium SIMD convolution operator integrated into TensorFlow Lite Micro.</t>
  </si>
  <si>
    <t>2.4 structured/unstructured hybrid pruning and hardware-aware scheduling; 2.5 custom TFLM operator/runtime; 2.6 resource-constrained target benchmarking.</t>
  </si>
  <si>
    <t>Arm Corstone-300 Cortex-M55 target with 128-bit Helium SIMD registers; latency reported at 120 MHz. The paper does not clearly establish whether measurements were taken on a physical board or a platform model.</t>
  </si>
  <si>
    <t>VGG-11 and ResNet-12 on CIFAR-10 and Visual Wake Words; YOLO on FDDB face detection; INT8 quantization.</t>
  </si>
  <si>
    <t>Filterlet pruning, filterlet weight-compressed storage, simulated-annealing pruning scheduler, learned latency model, prefetching, instruction-level optimization, and 16-lane Helium SIMD.</t>
  </si>
  <si>
    <t>Python 3.6/TensorFlow 2.6 offline toolchain and custom C/inline-Helium operator integrated into TensorFlow Lite Micro.</t>
  </si>
  <si>
    <t>Controlled Cortex-M55 target benchmark; physical-versus-model execution is not explicitly documented in the article.</t>
  </si>
  <si>
    <t>With accuracy loss constrained below 0.5%, DTMM reduces model size versus CHIP and PatDNN by 39.53% and 11.92% on average, and latency by 1.09% and 68.70%. Maximum reported gains are 42.8%/27.7% size/latency versus CHIP and 33.7%/74.6% versus PatDNN. The runtime constraint is 256 kB SRAM and deployment Flash constraint 512 kB.</t>
  </si>
  <si>
    <t>Partial/weak: algorithms, datasets, models, software versions, Cortex-M55/Helium design, resource limits, and figure-level results are provided; no repository, code release, raw measurements, build configuration, or physical-platform proof is identified.</t>
  </si>
  <si>
    <t>Hardware provenance is ambiguous, energy is not measured, and the learned latency model ignores smaller non-convolution operators. Results target an advanced Cortex-M55/Helium environment rather than widely deployed low-end Cortex-M0/M4 MCUs.</t>
  </si>
  <si>
    <t>Motivation and contributions pp. 1–2; storage/operator/scheduler pp. 3–5; implementation pp. 5–6; overall results and Figure 11 pp. 6–7; ablations and overhead pp. 7–8.</t>
  </si>
  <si>
    <t>DTMM is a library designed for efficient deployment and execution of machine learning models on weak IoT devices such as microcontroller units (MCUs). The motivation for designing DTMM comes from the emerging field of tiny machine learning (TinyML), which explores extending the reach of machine learning to many low-end IoT devices to achieve ubiquitous intelligence. Due to the weak capability of embedded devices, it is necessary to compress models by pruning enough weights before deploying. Although pruning has been studied extensively on many computing platforms, two key issues with pruning methods are exacerbated on MCUs: models need to be deeply compressed without significantly compromising accuracy, and they should perform efficiently after pruning. Current solutions only achieve one of these objectives, but not both. In this paper, we find that pruned models have great potential for efficient deployment and execution on MCUs. Therefore, we propose DTMM with pruning unit selection, pre-execution pruning optimizations, runtime acceleration, and post-execution low-cost storage to fill the gap for efficient deployment and execution of pruned models. It can be integrated into commercial ML frameworks for practical deployment, and a prototype system has been developed. Extensive experiments on various models show promising gains compared to state-of-the-art methods.</t>
  </si>
  <si>
    <t>Pilot validated — directed full-text extraction completed</t>
  </si>
  <si>
    <t>Full-text PDF supplied by user; pp. 2–6</t>
  </si>
  <si>
    <t>Fabricated NOR-flash compute-in-memory SoC with integrated accelerator and end-to-end compiler/toolchain for INT8 Edge-AI deployment</t>
  </si>
  <si>
    <t>2.2 Hardware Platforms and Computing Architectures; 2.4 Model Optimization and Hardware-Software Co-Design; 2.5 Deployment Tools, Compilers, and Embedded Runtimes</t>
  </si>
  <si>
    <t>55 nm CMOS/NOR-flash CIM SoC; two CIM macros up to 1024×4096; 8 Mb physical / 4 MB effective weight storage; 3.4×3.6 mm² die; 1.2 V</t>
  </si>
  <si>
    <t>Eight-layer CNN for human-body detection; up to four million INT8 parameters supported</t>
  </si>
  <si>
    <t>INT8 compute-in-memory; hardware-aware layer partitioning and height-direction tiling; noise-aware training with ±4% output perturbation</t>
  </si>
  <si>
    <t>ONNX parser and compiler; high-level C plus built-in library generates ISA binaries and maps CNN layers to CIM macros</t>
  </si>
  <si>
    <t>Physical fabricated-silicon controlled laboratory evaluation</t>
  </si>
  <si>
    <t>0.16 TOPS at 21.4 mW; 7.48 TOPS/W; 1.22 pJ/MAC; 92.8% accuracy; 4% false-positive rate; localization error &lt;10% in x/y; end-to-end inference &lt;200 ms; ≥4× latency reduction and 9× throughput improvement versus CPU baseline</t>
  </si>
  <si>
    <t>Partial: physical architecture, compiler flow, workload, and measurement results are described; no public compiler/code/model/repository is identified. Data availability states that no data were used.</t>
  </si>
  <si>
    <t>Single demonstrated CNN/application; public artifacts and detailed external reproducibility package are not reported.</t>
  </si>
  <si>
    <t>Architecture and specifications pp.2–4; compiler/mapping pp.4–5; measured results/Figs. 5–8 and Table 1 pp.5–6</t>
  </si>
  <si>
    <t>This work presents an 8-Mb embedded NOR Flash-based compute-in-memory (CIM) SoC with INT8 precision, fabricated in 55 nm CMOS, targeting energy-efficient edge AI inference. Our architecture integrates a voltage-sensing crossbar array with an optimized sampling scheme, achieving a 9× throughput improvement over conventional methods. A dedicated on-chip hardware accelerator seamlessly integrates data movement, CIM-based vector–matrix multiplication, and accelerated activation functions, reducing end-to-end inference latency by at least 4× compared to CPU baselines. Complementing the hardware, we develop a software stack that automates the translation of high-level neural network descriptions into flash-programming binaries, simplifying deployment. Experimental results demonstrate 0.16 TOPS at 21.4 mW (7.48 TOPS/W), 92.8% classification accuracy on a human-body detection CNN, and full end-to-end functionality, confirming NOR Flash as a scalable and commercially viable platform for practical analog edge AI systems.</t>
  </si>
  <si>
    <t>Defines Functionality Enhanced Memories and combines native transpose-access RRAM with in-SRAM computing to move data reshaping and arithmetic closer to storage.</t>
  </si>
  <si>
    <t>2.2 memory-centric architectures and compute-in-memory; 2.4 hardware–memory co-design; 2.8 data-movement and energy trade-offs.</t>
  </si>
  <si>
    <t>TIGFET-controlled RRAM array supporting horizontal and vertical/transpose reads, integrated conceptually with the BLADE SIMD in-SRAM computing architecture.</t>
  </si>
  <si>
    <t>Data pre-shaping and multiplication support for data-intensive Edge-AI workloads; no complete neural-network benchmark is implemented in this paper.</t>
  </si>
  <si>
    <t>Native transpose access, shared peripheral circuitry, nonvolatile storage, in-memory preprocessing, and SIMD bitline computation.</t>
  </si>
  <si>
    <t>Circuit-level architecture and transient simulation; no software runtime or compiler flow is presented.</t>
  </si>
  <si>
    <t>Circuit simulation of a 2×2 native-transpose memory subarray; conceptual system integration.</t>
  </si>
  <si>
    <t>The original result validates correct regular and transpose reads in transient simulation. Performance gains of 3–6×, 4.7×, 14.5×, and 2–10× are cited from prior or parallel works and are not original full-system measurements in this article.</t>
  </si>
  <si>
    <t>Weak: schematics and simulation waveforms are provided, but technology models, simulation decks, source files, and repositories are not identified.</t>
  </si>
  <si>
    <t>No fabricated memory macro, full-system benchmark, model accuracy, end-to-end latency, or directly measured energy result. System-level gains are largely prospective or drawn from cited work.</t>
  </si>
  <si>
    <t>FEM concept pp. 1–2; transpose-memory architecture and transient validation pp. 3–4; system vision and conclusion p. 4.</t>
  </si>
  <si>
    <t>With the surge in complexity of edge workloads, it appeared in the scientific community that such workloads cannot be anymore overflown to the cloud due to the huge edge device to server communication energy cost and the high energy consumption induced in high end server infrastructure. In this context, edge devices must be able to efficiently process complex data-intensive workloads bringing in the concept of Edge AI. However, current architectures show poor energy efficiency while running data intensive workloads. While the community looks toward the integration of new memory architectures using emerging resistive memories and new specific accelerators, we propose a new concept to boost the energy efficiency of Edge systems running data intensive workloads: Functionality Enhanced Memories (FEM). FEM consist on a memory architecture with new functionalities at a decent area overhead cost. In this work, we demonstrate the feasibility of native transpose access for 1Transistor-1RRAM bitcells leveraging three independent gates transistors. Based on that, we thereby propose a concept of FEM-enabled Edge system embedding the proposed native transpose access RRAM-based memory architecture and an in-SRAM computing architecture (the BLADE).</t>
  </si>
  <si>
    <t>Open cross-platform benchmark suite for eight biomedical TinyML workloads with controlled timing, energy, and memory characterization</t>
  </si>
  <si>
    <t>2.6 Experimental Validation and Benchmarking; 2.7 Reproducibility and Open Science; 3.1 Fragmented Benchmarking and Incomplete System-Level Reporting</t>
  </si>
  <si>
    <t>Five physical platforms: Raspberry Pi Pico/RP2040, STM32L4R5 Nucleo, Ambiq Apollo 3 Blue, GAP8 Gapuino, and GAP9EVK; MCU and RISC-V cluster architectures</t>
  </si>
  <si>
    <t>Eight workloads: heartbeat classification, SVM/CNN seizure detection, cognitive workload monitoring, gesture classification, cough detection, emotion classification, and cuffless BP/on-device training; models include SVM, CNN/FCN, MLP, RF, KNN, and neuro-fuzzy methods</t>
  </si>
  <si>
    <t>C/C++ implementations compiled with -O3; platform-aware duty cycling, deep sleep, SPI/DMA, and FreeRTOS-based dynamic memory where applicable</t>
  </si>
  <si>
    <t>Board SDKs/HALs and C/C++ toolchains; benchmark source repository at https://github.com/esl-epfl/biomedbench; project site https://biomedbench.epfl.ch/</t>
  </si>
  <si>
    <t>Comparative physical-device controlled laboratory benchmark</t>
  </si>
  <si>
    <t>Static/dynamic memory, cycles, phase timing, and energy measured across five platforms. No single platform dominates: GAP9 favors compute-intensive/high-duty workloads, while Apollo 3/STM32 can dominate low-duty/deep-sleep cases. Example: STM32 was 22× more energy efficient than GAP9 for SeizureDetSVM, but consumed 23.5× more energy for SeizureDetCNN.</t>
  </si>
  <si>
    <t>Strong/partial: public C/C++ benchmark repository and website are explicitly provided; hardware, compiler optimization, measurement equipment, and procedures are described. Dataset/model artifact contents and version pinning require repository audit; no repository DOI reported.</t>
  </si>
  <si>
    <t>Sensor/ADC energy is excluded and inputs are externally emulated; results are board/workload specific and should not be used for universal platform ranking.</t>
  </si>
  <si>
    <t>Workloads and platforms pp.2–3/Tables I–II; measurement protocol pp.3–4; energy/cycle results pp.4–6/Table III</t>
  </si>
  <si>
    <t>The design of low-power wearables for the biomedical domain has received a lot of attention in recent decades, as technological advances in chip manufacturing have allowed real-time monitoring of patients using low-complexity ML within the mW range. Despite advances in application and hardware design research, the domain lacks a systematic approach to hardware evaluation. In this work, we propose BiomedBench, a new benchmark suite composed of complete end-to-end TinyML biomedical applications for real-time monitoring of patients using wearable devices. Each application presents different requirements during typical signal acquisition and processing phases, including varying computational workloads and relations between active and idle times. Furthermore, our evaluation of five state-of-the-art low-power platforms in terms of energy efficiency shows that modern platforms cannot effectively target all types of biomedical applications. BiomedBench is released as an open-source suite to standardize hardware evaluation and guide hardware and application design in the TinyML wearable domain.</t>
  </si>
  <si>
    <t>Full-text workshop PDF supplied by user; pp. 1–6</t>
  </si>
  <si>
    <t>Introduces hierarchical inference in which a small local model accepts high-confidence samples and selectively offloads uncertain or semantically complex samples to a larger edge-server model.</t>
  </si>
  <si>
    <t>2.5 hybrid edge–server inference; 2.6 offloading, throughput, and latency; 2.8 accuracy–communication-cost trade-offs and recurrent hierarchical design patterns.</t>
  </si>
  <si>
    <t>Experimental CIFAR-10 comparison uses Raspberry Pi 4B as the edge device and an edge server with two 16-core CPUs, NVIDIA Tesla T4 GPU, and 256 GB RAM over 5 GHz WLAN/TCP.</t>
  </si>
  <si>
    <t>A 0.45 MB quantized five-layer CNN with 62.58% CIFAR-10 accuracy and EfficientNet with 95% server accuracy; a separate 0.23 MB binary dog/non-dog CNN supports hierarchical dog-breed classification.</t>
  </si>
  <si>
    <t>Confidence-threshold offloading based on maximum class probability; cost-aware threshold selection and selective local/server execution.</t>
  </si>
  <si>
    <t>TensorFlow/Keras and quantized TFLite models; TCP sockets and iPerf network profiling. No public implementation repository is identified.</t>
  </si>
  <si>
    <t>Physical Raspberry-Pi/edge-server network benchmark for CIFAR-10 plus quantitative/analytical evaluation of hierarchical classification scenarios.</t>
  </si>
  <si>
    <t>For CIFAR-10 at β=0.5, hierarchical inference offloads 35.5% of images and reaches 83.52% accuracy versus 62.58% local and 95% full offload. Average WLAN bandwidth is 10.45±0.6 MB/s from thirty 60-second trials; local inference is 0.99 ms versus 74.34 ms for transmission plus server inference. For dog/non-dog filtering, 4,433 of 10,000 images are offloaded and accuracy is 91.2%.</t>
  </si>
  <si>
    <t>Partial: datasets, model sizes/accuracies, threshold rule, hardware, WLAN, TCP, iPerf protocol, and several exact counts are provided. Code, trained models, complete runtimes, per-image traces, and a repository are not identified.</t>
  </si>
  <si>
    <t>The edge device is a Raspberry Pi rather than an MCU, and the abstract cost β can represent energy, delay, or monetary cost but is not directly measured. Results rely on fixed models, a stable WLAN testbed, and application-specific confidence calibration.</t>
  </si>
  <si>
    <t>Framework and assumptions pp. 1–3; CIFAR-10 and dog-breed cases pp. 3–5; hardware/network comparison and conclusions pp. 5–6.</t>
  </si>
  <si>
    <t>Resource-constrained Edge Devices (EDs), e.g., IoT sensors and microcontroller units, are expected to make intelligent decisions using Deep Learning (DL) inference at the edge of the network. Toward this end, there is a significant research effort in developing tinyML models - Deep Learning (DL) models with reduced computation and memory storage requirements - that can be embedded on these devices. However, tinyML models have lower inference accuracy. On a different front, DNN partitioning and inference offloading techniques were studied for distributed DL inference between EDs and Edge Servers (ESs). In this paper, we explore Hierarchical Inference (HI), a novel approach proposed by Vishnu et al. 2023, arXiv:2304.00891v1 , for performing distributed DL inference at the edge. Under HI, for each data sample, an ED first uses a local algorithm (e.g., a tinyML model) for inference. Depending on the application, if the inference provided by the local algorithm is incorrect or further assistance is required from large DL models on edge or cloud, only then the ED offloads the data sample. At the outset, HI seems infeasible as the ED, in general, cannot know if the local inference is sufficient or not. Nevertheless, we present the feasibility of implementing HI for machine fault detection and image classification applications. We demonstrate its benefits using quantitative analysis and argue that using HI will result in low latency, bandwidth savings, and energy savings in edge AI systems.</t>
  </si>
  <si>
    <t>Full-text PDF supplied by user; pp. 1, 10–14, 38–55</t>
  </si>
  <si>
    <t>Field-validated, solar-powered, LTE-M environmental sensing platform that is explicitly TinyML-ready but does not deploy a TinyML model in the current prototype</t>
  </si>
  <si>
    <t>2.6 Experimental Validation and Benchmarking (field-platform evidence only); 3.2 Limited Real-World Validation and Generalization Evidence</t>
  </si>
  <si>
    <t>Arduino Nano 33 BLE/nRF52840 Cortex-M4 at 64 MHz with 256 KB RAM and 1 MB Flash for sensing/edge control; Arduino MKR NB 1500 for LTE-M/NB-IoT; I²C inter-MCU link; SD buffering; 10–30 W PV and two 12.8 V 7.2 Ah LiFePO4 batteries</t>
  </si>
  <si>
    <t>No TinyML model is deployed in the current prototype. The study validates sensing, connectivity, power architecture, and field data collection; cloud Random Forest analysis in the appendix is not embedded-model validation.</t>
  </si>
  <si>
    <t>Low-power duty cycling, dual-MCU separation of sensing and communications, local buffering, and solar-energy sizing; no validated model optimization</t>
  </si>
  <si>
    <t>Arduino-based firmware and LTE-M telemetry; exact software/library versions and public repository NR</t>
  </si>
  <si>
    <t>Two-site field validation of sensing and LTE-M connectivity; no embedded-ML validation</t>
  </si>
  <si>
    <t>4,306 RSSI samples; one site −93 to −57 dBm (mean −75.51, median −77), second site mostly −95 to −91 dBm. Versus regional weather data: temperature mean difference −0.71 °C (SD 1.05), humidity +4.98% (SD 5.95), pressure −9.58 hPa (SD 0.28). Communication active ≈93 mA, idle ≈30 mA and 200–400 mA peaks are reported/illustrative rather than instrumented ML-energy results.</t>
  </si>
  <si>
    <t>Partial: hardware BOM, architecture, field protocol, and comparison methods are extensively described; data are available on request, and no public code/firmware/repository is identified.</t>
  </si>
  <si>
    <t>Explicit statement that no TinyML model is deployed in the current prototype; therefore it must not support claims about model accuracy, latency, RAM, or energy. Later future-work wording is internally ambiguous and should not override the scope statement.</t>
  </si>
  <si>
    <t>Abstract p.1; explicit no-current-TinyML statement p.10; hardware/architecture pp.10–14 and 38–44; field RSSI/weather comparison pp.50–55</t>
  </si>
  <si>
    <t>Environmental monitoring is essential for smart agriculture, renewable energy assessment, and climate-aware farm management. However, deploying autonomous sensing platforms in rural environments remains challenging because of energy constraints, communication reliability, and real-time processing requirements. This paper presents a modular, solar-powered environmental monitoring platform integrating LTE-M communication and TinyML-enabled edge sensing. The proposed system adopts a dual-microcontroller architecture that combines an Arduino Nano 33 BLE for real-time sensor acquisition and edge processing with an Arduino MKR NB 1500 dedicated to low-power wide-area communication. The platform integrates temperature, humidity, atmospheric pressure, rainfall, wind, and light sensors within a scalable framework. Two monitoring stations were deployed in rural regions of Romania to evaluate communication robustness, sensing stability, and energy autonomy. Field results demonstrated reliable LTE-M connectivity (4306 received signal strength indicator [RSSI] samples; mean −75.51 dBm) and strong agreement with a regional weather station, with mean deviations of −0.71 °C (temperature), 4.98% (humidity), and a stable pressure offset of −9.58 hPa attributable to altitude differences. Despite a total system cost of €315, the platform achieved measurement performance comparable to that of professional meteorological stations while maintaining long-term solar-powered operation. The proposed architecture provides a scalable and cost-effective solution for distributed smart agriculture and environmental monitoring applications.</t>
  </si>
  <si>
    <t>Full-text journal PDF supplied by user; pp. 1–25</t>
  </si>
  <si>
    <t>Proposes EASE, an error-aware uncorrected-TLC storage design that remaps high-order CNN weight bits, applies non-Gray voltage-state labeling, and gives sensitive layers stronger cell-density protection.</t>
  </si>
  <si>
    <t>2.2 memory/storage architectures; 2.4 reliability-aware hardware–software co-design; 3.3 robustness and storage faults; 2.8 reliability versus ECC latency/energy trade-offs.</t>
  </si>
  <si>
    <t>TLC NAND flash model calibrated using measured threshold-voltage distributions from a Toshiba/Kioxia BiCS flash chip; enhanced flash firmware and optional software bit remapping are proposed.</t>
  </si>
  <si>
    <t>Keras-pretrained VGG16, ResNet50, and InceptionV3 classification on 10,000 ImageNet images; fixed-point quantization with layer-specific batch-normalization precision.</t>
  </si>
  <si>
    <t>Weight-cell bit mapping, error-aware non-Gray labeling, high-order-bit protection, one-shot reads, dynamic cell-bit density for sensitive layers, and compatibility analysis with pruning.</t>
  </si>
  <si>
    <t>Flash reliability simulation calibrated from measured chip distributions; Keras models; pyldpc 0.7.9 and literature-derived timing/energy parameters for the LDPC comparison.</t>
  </si>
  <si>
    <t>Hybrid measured-flash characterization and model-level simulation; no fabricated EASE storage system or end-to-end edge-device deployment.</t>
  </si>
  <si>
    <t>At 100 P/E cycles, EASE limits accuracy loss to ≤1% after one year, while Plain models deteriorate severely within three months and VGG16 with VADM/WISER falls below 50% after six months. At 500 P/E cycles, EASE loses up to 12% after one year while competing schemes become unusable within 90 days. Low-density protection prevents 12% and 5% losses for ResNet50 and InceptionV3 with 2.4% and 0.6% compact-model space overhead.</t>
  </si>
  <si>
    <t>Partial: public ImageNet/Keras models, quantization rules, reliability equation and calibrated coefficients, flash distribution source, P/E/retention settings, and comparison algorithms are described. No code, simulation deck, measured raw flash data, firmware, or repository is released.</t>
  </si>
  <si>
    <t>CNN degradation and ECC overheads are simulated; LDPC time/energy parameters and decoder-energy shares come from prior work. Weight assembly/disassembly overhead is excluded, and no fabricated EASE implementation validates firmware complexity or absolute energy.</t>
  </si>
  <si>
    <t>Model configurations and setup pp. 15–17; retention results pp. 17–19; layer protection and pruning pp. 20–21; modeled time/energy overhead pp. 21–22; conclusion p. 22.</t>
  </si>
  <si>
    <t>Computing near the source of data has been proven effective in terms of energy conservation, latency improvement, and privacy preservation. With this, edge intelligence refers to local CNN inference in embedded edge devices. Because edge devices are highly resource-constrained, in practice they store CNN model(s) in external flash memory and load them (or part of) during runtime inference. However, flash memory is subject to time-related retention errors, and thus a dilemma is that without error correction, a CNN model in flash memory quickly deteriorates and becomes useless. On the other hand, strong error correction involves extra read sensing and read retrying. Due to the concern of reliability, the lineup of embedded serial flash memory offers low-density solutions only. In this study, we investigate graceful degradation of CNN models in uncorrected high-density flash storage for edge intelligence. Inspired by the observation that in popular CNN models, the majority of CNN weight parameters share a few monotonic bit patterns in their high-order bits, we propose mapping the frequent bit patterns to low flash-cell voltage levels for protection against retention errors. Furthermore, as CNN layers show different levels of tolerance to bit errors, we also propose using adaptive cell-bit density to provide non-uniform error protection among layers. We conducted experiments on popular CNN designs, including VGG16, ResNet50, and InceptionV3, under realistic effects of flash aging. Results show that with prior methods, the inference accuracy of ResNet50 degrades to 70.7% in just three months; by contrast, with our approach, the degradation is less than 1% and the accuracy remains at 91.6% after one year of retention.</t>
  </si>
  <si>
    <t>Complementary batch 4 — directed full-text review completed; narrative/scoping review</t>
  </si>
  <si>
    <t>Full-text journal PDF supplied by user; pp. 1–28</t>
  </si>
  <si>
    <t>Maps the emerging transition from fixed-function TinyML to generative models deployed on physical edge devices, organized by task and optimization strategy.</t>
  </si>
  <si>
    <t>2.1 transition to Edge GenAI; 2.3 generative and multimodal tasks; 2.4 compression and quantization; 2.6 device-level reporting gaps; 2.8 model-size, latency, energy, and privacy trade-offs.</t>
  </si>
  <si>
    <t>Reviewed deployments include smartphones and mobile NPUs/GPUs, Raspberry Pi, STM32-class MCUs, NVIDIA Jetson boards, and other embedded platforms.</t>
  </si>
  <si>
    <t>Visual question answering, image generation/stylization, face swapping, super-resolution, image restoration/inpainting, depth estimation, language and multimodal models, and other generative workloads.</t>
  </si>
  <si>
    <t>Pruning, compression, post-training quantization, knowledge distillation, reparameterization, lookup tables, architecture simplification, and device-specific acceleration.</t>
  </si>
  <si>
    <t>Heterogeneous mobile/embedded runtimes and vendor stacks are reported across the included studies; the review does not provide a standardized compiler/runtime extraction framework.</t>
  </si>
  <si>
    <t>Narrative/scoping review based on keyword searches and manual relevance screening; 135 papers reviewed and 66 retained. Included studies were required to report physical-device deployment and performance.</t>
  </si>
  <si>
    <t>The corpus covers publications from 2022–2024. Visual-processing tasks dominate. The review identifies model size, latency, storage, and energy as essential but inconsistently reported deployment metrics, and emphasizes that Edge GenAI remains an early-stage field.</t>
  </si>
  <si>
    <t>Weak/partial review reproducibility: broad sources, date range, inclusion logic, total reviewed/included counts, and paper categories are stated. Exact search strings, search dates, database-specific queries, screening records, extraction form, quality appraisal, and public review dataset are absent.</t>
  </si>
  <si>
    <t>Google search and keyword-based collection may be non-exhaustive and selection-dependent. The corpus mixes preprints, conferences, and journal papers, and the review does not conduct formal quality/risk-of-bias assessment or quantitative synthesis.</t>
  </si>
  <si>
    <t>Scope and methodology pp. 2–4; task-specific comparisons pp. 5–19; optimization pp. 19–21; discussion and conclusion pp. 21–23.</t>
  </si>
  <si>
    <t>Complete — complementary batch 4; narrative review</t>
  </si>
  <si>
    <t>Generative AI (GenAI) models are designed to produce realistic and natural data, such as images, audio, or written text. Due to their high computational and memory demands, these models traditionally run on powerful remote compute servers. However, there is growing interest in deploying GenAI models at the edge, on resource-constrained embedded devices. Since 2018, the TinyML community has proved that running fixed topology AI models on edge devices offers several benefits, including independence from internet connectivity, low-latency processing, and enhanced privacy. Nevertheless, deploying resource-consuming GenAI models on embedded devices is challenging since the latter have limited computational, memory, and energy resources. This review paper aims to evaluate the progresses made to date in the field of Edge GenAI, an emerging area of research within the broader domain of EdgeAI which focuses on bringing GenAI on edge devices. Papers released between 2022 and 2024 that address the design and deployment of GenAI models on embedded devices are identified and described. Additionally, their approaches and results are compared. This manuscript contributes to understand the ongoing transition from TinyML to Edge GenAI and provides valuable insights to the AI research community on this emerging, impactful, and quite under-explored field.</t>
  </si>
  <si>
    <t>Full-text journal PDF supplied by user; pp. 1–21</t>
  </si>
  <si>
    <t>Compares representative SoC edge devices and TPU-enabled configurations using the same TensorFlow Lite image-classification workloads, system-resource monitoring, inference timing, and external power measurement.</t>
  </si>
  <si>
    <t>2.2 SoC and accelerator comparison; 2.5 TensorFlow Lite deployment; 2.6 cross-device physical benchmarking; 2.8 accelerator, memory, latency, and power trade-offs.</t>
  </si>
  <si>
    <t>Raspberry Pi 4B, Coral Dev Board, Coral Dev Board Mini, Jetson Nano, and HummingBoard Pro; Coral boards are evaluated with and without Edge TPU. Jetson is CPU-only because the Python TFLite path did not use its GPU.</t>
  </si>
  <si>
    <t>Three TensorFlow Lite image classifiers: digit recognition, bird classification, and object classification, with 15, 173, and 90 layers respectively.</t>
  </si>
  <si>
    <t>Model conversion to TensorFlow Lite and optional Edge TPU acceleration; no pruning, quantization study, or architecture search is performed.</t>
  </si>
  <si>
    <t>TensorFlow Lite, Pillow, psutil, Python 3.10, JSON logging, Elasticsearch 7.13.4, Kibana, and an Intertek JGQ02S-01 external power meter.</t>
  </si>
  <si>
    <t>Physical multi-device laboratory benchmark. HummingBoard Pro could not successfully run the TFL models, while the remaining devices/configurations were compared.</t>
  </si>
  <si>
    <t>Coral devices with TPU are the fastest, and TPU use dramatically reduces inference time without materially changing CPU, RAM, or power consumption. Standard power ranges: Coral Mini 0.9–1.3 W, Coral Dev Board 4.2–4.4 W, Jetson Nano 2.8–3.4 W, and Raspberry Pi 2.6–2.9 W; classification peaks are about 1.9–6.7 W depending on device/model.</t>
  </si>
  <si>
    <t>Partial: device specifications, models, libraries, metrics, logging pipeline, power-meter model, and qualitative procedures are reported, with data contained in the article. No public code, model package, raw JSON/Elasticsearch export, OS image, dependency lockfile, or persistent repository is identified.</t>
  </si>
  <si>
    <t>The benchmark excludes MCU-class devices, uses Jetson CPU only, reports inference mainly through graphs rather than reusable numeric tables, and does not clearly report run counts or uncertainty. TPU utilization cannot be directly measured.</t>
  </si>
  <si>
    <t>Device/model/protocol pp. 8–12; resource and inference results pp. 13–16; energy Table 5 p. 16; global discussion and conclusions pp. 16–19.</t>
  </si>
  <si>
    <t>Complete — complementary batch 4</t>
  </si>
  <si>
    <t>In recent years, more and more devices are connected to the network, generating an overwhelming amount of data. This term that is booming today is known as the Internet of Things. In order to deal with these data close to the source, the term Edge Computing arises. The main objective is to address the limitations of cloud processing and satisfy the growing demand for applications and services that require low latency, greater efficiency and real-time response capabilities. Furthermore, it is essential to underscore the intrinsic connection between artificial intelligence and edge computing within the context of our study. This integral relationship not only addresses the challenges posed by data proliferation but also propels a transformative wave of innovation, shaping a new era of data processing capabilities at the network’s edge. Edge devices can perform real-time data analysis and make autonomous decisions without relying on constant connectivity to the cloud. This article aims at analysing and comparing Edge Computing devices when artificial intelligence algorithms are deployed on them. To this end, a detailed experiment involving various edge devices, models and metrics is conducted. In addition, we will observe how artificial intelligence accelerators such as Tensor Processing Unit behave. This analysis seeks to respond to the choice of a device that best suits the necessary AI requirements. As a summary, in general terms, the Jetson Nano provides the best performance when only CPU is used. Nevertheless the utilisation of a TPU drastically enhances the results.</t>
  </si>
  <si>
    <t>Full-text conference PDF supplied by user; pp. 1–2</t>
  </si>
  <si>
    <t>Describes a commercial heterogeneous Edge-AI SoC strategy combining CPU, GPU, dedicated APU, shared on-chip memory, and direct peripheral links to reduce DRAM traffic.</t>
  </si>
  <si>
    <t>2.1 transition toward heterogeneous Edge AI; 2.2 SoC/APU architectures; 2.8 latency, bandwidth, power, and portability trade-offs.</t>
  </si>
  <si>
    <t>MediaTek P90 12 nm SoC with CPU, GPU, dedicated AI Processing Unit, local SRAM, tightly coupled global buffer, direct camera/audio/modem links, and shared DRAM.</t>
  </si>
  <si>
    <t>Generic DNN operators for image classification, detection, face recognition, segmentation, super-resolution, and denoising; no single benchmark model is fully specified.</t>
  </si>
  <si>
    <t>Heterogeneous operator scheduling, local data reuse, direct peripheral-to-APU transfer, DRAM bypass, and FP16/INT16/INT8 precision support.</t>
  </si>
  <si>
    <t>MediaTek heterogeneous execution stack with custom-operator fallback to GPU/CPU; exact runtime, compiler, and software versions are not documented.</t>
  </si>
  <si>
    <t>Industrial implementation benchmark using ETHZ AI Benchmark plus an image-noise-reduction pipeline comparison.</t>
  </si>
  <si>
    <t>APU is reported at 55× higher power efficiency than GPU/CPU. Direct-link integration reports 24× performance improvement, 20× system-energy improvement, and 90% DRAM-bandwidth reduction. MediaTek P90 scores 25,654 on ETHZ AI Benchmark v2.1.2.</t>
  </si>
  <si>
    <t>Weak: chip architecture and benchmark scores are reported, but model configurations, operator mappings, measurement boundaries, raw data, code, and artifacts are not provided.</t>
  </si>
  <si>
    <t>Two-page industrial paper with limited methodological transparency; claims cannot be decomposed by model, workload, precision, device state, or measurement instrument.</t>
  </si>
  <si>
    <t>Design challenges p. 1; heterogeneous architecture, benchmark table, and conclusion p. 2.</t>
  </si>
  <si>
    <t>Current artificial intelligence (AI) with human-level accuracy has promising business values in many application fields. However, the price is high computation complexity and memory bandwidth. Therefore it is challenging to deploy AI onto edge devices where the power and hardware resource are limited. In this paper, the design challenges on Edge AI and solutions from Mediatek is introduced. Dedicated parallel AI processor is embedded to gain computation and power efficiency. Memory hierarchy is designed to share and reuse data locally without redundant DRAM accessing. A direct data link is implemented to pass the data between system peripherals and processors to further reduce DRAM bandwidth. The implementation result shows the SoC with all these techniques significantly outperforms other works according to ETHZ AI benchmark.</t>
  </si>
  <si>
    <t>Full-text journal PDF supplied by user; pp. 120772–120784</t>
  </si>
  <si>
    <t>Proposes cloud-assisted incremental learning with selective parameter transfer, edge emulation, dynamic code/parameter generation, and interrupt-driven execution to adapt fixed edge models at runtime.</t>
  </si>
  <si>
    <t>2.5 cloud–edge runtime architecture; 2.8 adaptation, communication, and update trade-offs; 3.3 incremental learning and concept drift.</t>
  </si>
  <si>
    <t>FPGA-based emulation of a Cortex-M-class edge with 128 kB cache and 24 kB RAM; STM32F407 Discovery provides eight-line parallel communication; Jetson Nano is the local-learning baseline; cloud server uses an i5-12400 CPU and AMD RX 6600 GPU.</t>
  </si>
  <si>
    <t>MNIST, CIFAR-10, and Tiny-ImageNet image classification; ResNet-18 is explicitly reported for CIFAR-10, while the exact MNIST/Tiny-ImageNet model details are incomplete.</t>
  </si>
  <si>
    <t>Selective parameter/layer updating, representative replay of earlier data, cloud retraining, edge emulation, cache-based updates, event-driven interrupts, and concurrent inference/update scheduling.</t>
  </si>
  <si>
    <t>Custom FPGA/Verilog and interrupt-based cloud–edge software architecture; 48 Mbps eight-GPIO transfer. Complete source code, framework versions, and repository are not reported.</t>
  </si>
  <si>
    <t>Physical FPGA/STM32/cloud-server testbed with biased-image experiments; interpretation is limited by incomplete experimental detail and internal hardware-description inconsistencies.</t>
  </si>
  <si>
    <t>Abstract reports &gt;10% average accuracy improvement, 49% lower training time than Jetson Nano local learning, and 70% lower communication volume than code streaming. MNIST deployment reports 43.42 kB code, 8.32 kB RAM, and 0.3 ms inference. Total learning-plus-inference time is 14 ms versus 27 ms on Jetson Nano. Under biased inputs, MNIST improves by about 20%; CIFAR-10 ResNet-18 improves from 41.31% pretrained to 83.90% after partial updates.</t>
  </si>
  <si>
    <t>Weak/partial: datasets, principal hardware, cache/RAM sizes, communication width/rate, algorithms, and headline results are described. Exact FPGA part/core mapping, models, preprocessing, split/repetition details, code, raw data, and repository are absent.</t>
  </si>
  <si>
    <t>The paper inconsistently describes the FPGA edge as Cortex-M0 and Cortex-M4. Several tables are not sufficiently contextualized, and communication, accuracy, and timing boundaries are not fully reproducible; no energy measurement is provided.</t>
  </si>
  <si>
    <t>Architecture and dynamic update flow pp. 120772–120779; hardware setup pp. 120780–120781; timing and accuracy analysis pp. 120781–120783.</t>
  </si>
  <si>
    <t>Medium/Low</t>
  </si>
  <si>
    <t>Complete — complementary batch 3; evidence restricted</t>
  </si>
  <si>
    <t>Edge AI computing transcends the passive execution of predefined software by making inferences in response to inputs. However, AI inference at the edge is only matrix operations with statically loaded weights defined in on-chip code flash memory. The narrow weights configured in the offline learning stage do not produce accurate inferences for various input conditions. Therefore, AI-embedded edge systems have to be efficiently reconfigured in runtime to update the pre-defined weights and models to handle various scenarios. To address these issues this paper proposes flexible edge AI architecture with cloud-connected incremental learning. The proposed architecture updates weights and models through the cloud to adapt to external changes in edge AI in runtime. Also, offloading resource-intensive learning stages to the cloud with an event-driven approach reduces the load on edge. Cloud communication minimizes overhead by updating weights intermittently, based on accuracy under changing environmental conditions. The proposed system demonstrates an average accuracy improvement of over 10% in biased input scenarios, a 49% reduction in training time compared to the Jetson Nano board with learning capability, and a 70% reduction in communication volume compared to cloud code-streaming edge devices. This research focuses on integrating cloud and edge computing to overcome the limitations of embedded devices and develop flexible edge AI systems.</t>
  </si>
  <si>
    <t>Full-text journal PDF supplied by user; pp. 1–13</t>
  </si>
  <si>
    <t>Delivers a controlled, cross-platform benchmark of contemporary YOLO variants on low-compute NPUs, including resolution scaling, multi-core scheduling, memory contention, measured power, and deployment guidelines.</t>
  </si>
  <si>
    <t>2.2 low-compute SoCs/NPUs; 2.4 INT8 PTQ/QAT and memory-aware optimization; 2.5 ONNX–RKNN deployment; 2.6 reproducible physical benchmarking; 2.8 architecture, bandwidth, latency, and energy trade-offs.</t>
  </si>
  <si>
    <t>Rockchip RV1106: Cortex-A7, 0.5 INT8 TOPS, 256 MB DDR3L, measured 718 MiB/s; RK3568: four Cortex-A55, 1 TOPS, 2 GB LPDDR4X, 2323 MiB/s; RK3588: four Cortex-A76 plus four Cortex-A55, 6 TOPS, 16 GB LPDDR4X, 8807 MiB/s.</t>
  </si>
  <si>
    <t>Nine YOLO variants—YOLOv5, YOLOv8, and YOLO11 in Nano, Small, and Medium scales—benchmarked for COCO object detection at six input resolutions from 480 to 1280.</t>
  </si>
  <si>
    <t>ONNX export, INT8 PTQ for most models, selected QAT for Medium variants, RKNN graph fusion, multi-core NPU scheduling, and analysis of memory-aware/operator-fusion opportunities.</t>
  </si>
  <si>
    <t>RKNN Toolkit 2.3.0 and Rockchip runtime; fixed 64-image COCO 2017 calibration subset; mbw bandwidth benchmark; stress-ng CPU/memory contention; external USB power meter.</t>
  </si>
  <si>
    <t>Physical three-SoC controlled benchmark: 100 inference runs per model–SoC–resolution combination, first 10 discarded, standard deviation below 1% after warm-up.</t>
  </si>
  <si>
    <t>At 640×640, RV1106 Nano models require 68–97 ms and Medium models exceed 250 ms; RK3568 Nano 34–79 ms; RK3588 Nano 21–30 ms and YOLO11m 92 ms. Multi-core gains are generally &lt;10%; memory stress causes 50–270% degradation on RV1106/RK3568 but &lt;5% on RK3588. Energy at 640 ranges from 74.93 mJ/frame for YOLOv5n on RK3588 to 978.10 mJ/frame for YOLO11m on RV1106.</t>
  </si>
  <si>
    <t>Strong/partial: SoC specifications, model variants, resolutions, calibration subset size, RKNN version, quantization policy, run counts, stress tools, bandwidth benchmark, and power method are documented. Study data are request-only; code, converted models, calibration-image indices, scripts, raw traces, and repository are not public.</t>
  </si>
  <si>
    <t>Only Rockchip SoCs and YOLO-family object detectors are evaluated. External USB power measurement and request-only data limit independent replication; accuracy values rely mainly on published COCO mAP rather than a fully re-evaluated task dataset after every conversion.</t>
  </si>
  <si>
    <t>Hardware and models pp. 2–4; deployment/protocol pp. 4–5; latency, scaling, contention, and multi-core results pp. 5–8; energy Table 5 and discussion pp. 8–10; conclusion/data availability pp. 10–11.</t>
  </si>
  <si>
    <t>Deploying deep learning-based object detectors on low-compute edge AI SoCs remains challenging, as real-world performance depends on factors beyond nominal TOPS ratings, including architectural design, memory bandwidth, and system-level contention. This study presents a comprehensive and reproducible benchmarking of nine YOLO variants across three widely used Rockchip SoCs, covering multiple input resolutions, compute configurations, and operating conditions. Our results show that inference latency correlates more strongly with detection accuracy (mAP) than with FLOPs or parameter count, revealing the execution overhead introduced by recent architectural modules. Latency scaling with input size deviates from quadratic theoretical predictions due to bandwidth limitations, and multi-core NPU scheduling provides only marginal gains because of synchronization and shared-memory bottlenecks. Under multitasking stress, memory bandwidth emerges as the primary factor governing robustness, while energy-per-inference measurements highlight substantial efficiency differences across SoCs. These findings offer practical guidance for selecting and deploying object detection models on embedded platforms, emphasizing the need for hardware-aware model choices and memory-efficient optimizations in real-time edge AI applications.</t>
  </si>
  <si>
    <t>Full-text conference PDF supplied by user; pp. 1097–1107</t>
  </si>
  <si>
    <t>Uses lightweight candidate pruning and DDPG-based split-decision search to distribute fused CNN layer-volumes across heterogeneous edge devices and changing wireless links.</t>
  </si>
  <si>
    <t>2.5 distributed runtimes and orchestration; 2.6 physical heterogeneous-device benchmarking; 2.8 computation–communication partitioning and dynamic adaptation.</t>
  </si>
  <si>
    <t>Physical testbed with Raspberry Pi 3, NVIDIA Jetson Nano, Jetson TX2, Jetson Xavier, laptop controller, smartphone requester, and Linksys AC1900/OpenWrt 5 GHz Wi-Fi with controlled 50–300 Mbps links.</t>
  </si>
  <si>
    <t>VGG-16, ResNet-50, InceptionV3, YOLOv2, SSD-ResNet50, SSD-VGG16, OpenPose, and VoxelNet inference.</t>
  </si>
  <si>
    <t>Layer-volume fusion, LC-PSS candidate pruning, DDPG actor–critic optimal split search, dynamic online repartitioning, parallel compute/receive/transmit threads, and compatibility with TensorRT FP16.</t>
  </si>
  <si>
    <t>Python 3, TCP sockets, OpenWrt bandwidth control, TensorRT FP16 batch-one kernels, TensorRT Profiler, and trained actor network on the controller. No public repository is identified.</t>
  </si>
  <si>
    <t>Physical heterogeneous and dynamic-network multi-device benchmark, including up to sixteen service providers.</t>
  </si>
  <si>
    <t>Across heterogeneous devices/networks and eight CNNs, DistrEdge reports 1.1–3× speedup over state-of-the-art methods and 1.3–3× over AOFL in large-scale cases. Its per-image latency is 40–65% of AOFL. Online actor fine-tuning takes 20–210 s versus about 10 min for AOFL brute-force repartitioning. Profiles are repeated 100 times and performance is averaged over streams of 5,000 images.</t>
  </si>
  <si>
    <t>Partial: devices, Wi-Fi router, bandwidth groups, TensorRT precision, profiling repetitions, DRL hyperparameters, models, and baselines are extensively documented. Code, trained actors, exact software versions, raw profiles, and repository are not supplied.</t>
  </si>
  <si>
    <t>Memory is explicitly excluded because the selected devices have gigabyte-scale RAM; energy and predictive accuracy are not evaluated. Partitioning is one-dimensional, and image parts/models are preloaded, which reduces real deployment overhead.</t>
  </si>
  <si>
    <t>Problem and algorithms pp. 1099–1102; physical setup and protocol pp. 1102–1103; heterogeneous and model results pp. 1103–1105; dynamic-network analysis and limitations pp. 1105–1106.</t>
  </si>
  <si>
    <t>As the number of edge devices with computing resources (e.g., embedded GPUs, mobile phones, and laptops) increases, recent studies demonstrate that it can be beneficial to collaboratively run convolutional neural network (CNN) inference on more than one edge device. However, these studies make strong assumptions on the devices' conditions, and their application is far from practical. In this work, we propose a general method, called DistrEdge, to provide CNN inference distribution strategies in environments with multiple IoT edge devices. By addressing heterogeneity in devices, network conditions, and nonlinear characters of CNN computation, DistrEdge is adaptive to a wide range of cases (e.g., with different network conditions, various device types) using deep reinforcement learning technology. We utilize the latest embedded AI computing devices (e.g., NVIDIA Jetson products) to construct cases of heterogeneous devices' types in the experiment. Based on our evaluations, DistrEdge can properly adjust the distribution strategy according to the devices' computing characters and the network conditions. It achieves 1.1 to 3x speedup compared to state-of-the-art methods.</t>
  </si>
  <si>
    <t>Full-text journal PDF supplied by user; pp. 1–7</t>
  </si>
  <si>
    <t>Combines scenario clustering, a conceptual lightweight-AI library, multi-factor service priority, resource/memory constraints, and particle-swarm optimization to allocate AI modules across low-voltage-distribution-network edge terminals.</t>
  </si>
  <si>
    <t>2.5 orchestration and model-library deployment; 2.8 cloud–edge resource-allocation patterns; 3.2 domain simulation versus real deployment.</t>
  </si>
  <si>
    <t>Simulated 17-node low-voltage distribution network with smart meters, load switches, storage devices, photovoltaics, and charging piles; no actual edge-terminal hardware is specified or tested.</t>
  </si>
  <si>
    <t>PCA and K-means identify LVDN scenarios; the paper discusses TensorFlow-trained and TFLite-converted lightweight models but does not specify the concrete application models, architectures, sizes, or predictive metrics.</t>
  </si>
  <si>
    <t>PCA dimensionality reduction, K-means clustering, knowledge distillation/pruning/quantization as library concepts, multi-factor priority, resource and memory constraints, and particle-swarm deployment optimization.</t>
  </si>
  <si>
    <t>Python/TensorFlow/TensorFlow Lite are proposed for the model library; Matlab implements the orchestration simulation with 500 PSO iterations.</t>
  </si>
  <si>
    <t>Simulation using 2022–2023 historical LVDN operation data; no physical Edge-AI deployment.</t>
  </si>
  <si>
    <t>Average edge-terminal resource utilization increases by 26.4%, and optimized service response time decreases by 0.43 s on average. High-priority processing time is 0.37 s versus 0.76 s for the traditional cloud model and 0.61 s for local processing; medium-priority times are 0.93/1.42/1.22 s and low-priority times 1.62/2.13/1.81 s.</t>
  </si>
  <si>
    <t>Weak/partial: the 17-node topology, historical period, PSO settings, priority factors, constraints, and aggregate timings are described; raw data are available only on request. Models, code, terminal specifications, exact datasets, and repository are absent.</t>
  </si>
  <si>
    <t>The work validates orchestration rather than concrete AI inference. No hardware, model accuracy, latency instrumentation, memory footprint, energy, security, or confidentiality evaluation is provided.</t>
  </si>
  <si>
    <t>Scenario features and model-library concept pp. 2–3; orchestration and constraints pp. 3–5; case study and Table 2 pp. 5–6; limitations/data statement pp. 6–7.</t>
  </si>
  <si>
    <t>Recent years, the tremendous number of distributed energy resources, electric vehicles are integrated into the Low-Voltage Distribution Network (LVDN), large amount of data are generated by edge devices in LVDN. The cloud data centers are unable to process these data timely and accurately, making it impossible to meet the demand for fine-grained control of LVDN. To solve the above problems, this paper proposes a flexible orchestration of lightweight artificial intelligence (AI) for edge computing in LVDN. Firstly, the application requirements of LVDN are analysed through feature extraction of its historical data, and a lightweight AI library is constructed to meet its requirements. Secondly, based on the multi-factor priority, a flexible orchestration model is established, to allow the lightweight AI embedded in the edge devices of the LVDN. Finally, the particle swarm optimization algorithm is used to provide the best solution. The simulation results show that the method proposed in this paper can support the deployment of AI at the edge. It can significantly improve the utilization of edge computing resources, and reduce the pressure of cloud computing and the time of application processes.</t>
  </si>
  <si>
    <t>Extraction codebook and controlled values</t>
  </si>
  <si>
    <t>Field / code</t>
  </si>
  <si>
    <t>Allowed values</t>
  </si>
  <si>
    <t>Definition</t>
  </si>
  <si>
    <t>Use rule</t>
  </si>
  <si>
    <t>Example</t>
  </si>
  <si>
    <t>Applies to</t>
  </si>
  <si>
    <t>Not reported in the source reviewed</t>
  </si>
  <si>
    <t>Use when the full text/abstract does not state the value; do not convert to Not available.</t>
  </si>
  <si>
    <t>Clock = NR</t>
  </si>
  <si>
    <t>All</t>
  </si>
  <si>
    <t>Not applicable to the study</t>
  </si>
  <si>
    <t>Use only when the concept does not apply.</t>
  </si>
  <si>
    <t>Predictive accuracy = NA for a measurement-protocol paper</t>
  </si>
  <si>
    <t>Not verifiable with the available source</t>
  </si>
  <si>
    <t>Use when a claim exists but its supporting evidence cannot be checked.</t>
  </si>
  <si>
    <t>Hardware deployment = NV</t>
  </si>
  <si>
    <t>Abstract only; Full text; Supplement; Repository; Manuscript synthesis</t>
  </si>
  <si>
    <t>Where the extracted value came from</t>
  </si>
  <si>
    <t>Record the strongest source actually inspected.</t>
  </si>
  <si>
    <t>Abstract only</t>
  </si>
  <si>
    <t>Result status</t>
  </si>
  <si>
    <t>Measured; Simulated; Estimated; Claimed</t>
  </si>
  <si>
    <t>Epistemic status of a result</t>
  </si>
  <si>
    <t>Never merge these categories.</t>
  </si>
  <si>
    <t>Latency = 7.60 ms (Simulated)</t>
  </si>
  <si>
    <t>0 Concept; 1 Model simulation; 2 Hardware-targeted simulation; 3 Physical device; 4 Controlled laboratory; 5 Field; 6 Longitudinal/operational</t>
  </si>
  <si>
    <t>Maturity of experimental validation</t>
  </si>
  <si>
    <t>Select the highest explicitly supported level and describe lower-level evidence in notes.</t>
  </si>
  <si>
    <t>5 — Field</t>
  </si>
  <si>
    <t>Availability</t>
  </si>
  <si>
    <t>Available; Partial; Not available; Not reported; Not applicable; Pending full-text audit</t>
  </si>
  <si>
    <t>Artifact/reproducibility status</t>
  </si>
  <si>
    <t>Not reported is not equivalent to not available.</t>
  </si>
  <si>
    <t>Firmware = Not reported</t>
  </si>
  <si>
    <t>High; Medium; Low</t>
  </si>
  <si>
    <t>Confidence in the extraction</t>
  </si>
  <si>
    <t>High requires explicit source support and unambiguous units/context.</t>
  </si>
  <si>
    <t>Core; Complementary</t>
  </si>
  <si>
    <t>Role in the review</t>
  </si>
  <si>
    <t>Core receives exhaustive extraction; complementary receives directed extraction.</t>
  </si>
  <si>
    <t>Master</t>
  </si>
  <si>
    <t>Published; Preprint</t>
  </si>
  <si>
    <t>Bibliographic maturity</t>
  </si>
  <si>
    <t>A10, A21, and A22 remain flagged as preprints.</t>
  </si>
  <si>
    <t>Yes; No; NR; NV</t>
  </si>
  <si>
    <t>Whether the study reports execution on a physical target</t>
  </si>
  <si>
    <t>Simulation targeting a device remains No; use NV when a deployment claim cannot be verified.</t>
  </si>
  <si>
    <t>NV — under-specified benchmark</t>
  </si>
  <si>
    <t>Pending; In progress; Complete; Blocked</t>
  </si>
  <si>
    <t>Progress tracker</t>
  </si>
  <si>
    <t>Complete only after text, supplement, and repository checks are finished.</t>
  </si>
  <si>
    <t>Pending</t>
  </si>
  <si>
    <t>Reproducibility locator</t>
  </si>
  <si>
    <t>URL / DOI / section / page / appendix</t>
  </si>
  <si>
    <t>Evidence location for availability decisions</t>
  </si>
  <si>
    <t>Record exact locator when available.</t>
  </si>
  <si>
    <t>Repository DOI: ...</t>
  </si>
  <si>
    <t>Reproducibility</t>
  </si>
  <si>
    <t>Profiler-derived</t>
  </si>
  <si>
    <t>Profiler-derived / tool-estimated</t>
  </si>
  <si>
    <t>Resource or latency value produced by a deployment profiler rather than independent instrumentation</t>
  </si>
  <si>
    <t>Code as estimated/profiler-derived and do not merge with directly measured hardware values.</t>
  </si>
  <si>
    <t>Edge Impulse RAM/latency estimate</t>
  </si>
  <si>
    <t>Dataset</t>
  </si>
  <si>
    <t>Preprocessing scripts</t>
  </si>
  <si>
    <t>Training code</t>
  </si>
  <si>
    <t>Trained model</t>
  </si>
  <si>
    <t>Quantized / deployed model</t>
  </si>
  <si>
    <t>Firmware</t>
  </si>
  <si>
    <t>Embedded C/C++</t>
  </si>
  <si>
    <t>Hardware configuration</t>
  </si>
  <si>
    <t>Toolchain versions / build options</t>
  </si>
  <si>
    <t>Measurement protocol</t>
  </si>
  <si>
    <t>Raw benchmark data</t>
  </si>
  <si>
    <t>Persistent repository</t>
  </si>
  <si>
    <t>Repository DOI / URL</t>
  </si>
  <si>
    <t>Overall status</t>
  </si>
  <si>
    <t>Evidence basis</t>
  </si>
  <si>
    <t>Review notes</t>
  </si>
  <si>
    <t>Not reported</t>
  </si>
  <si>
    <t>Partial — STM32F407 and MPU9250 identified</t>
  </si>
  <si>
    <t>Partial — three tests and 100 Hz logging described</t>
  </si>
  <si>
    <t>Partial</t>
  </si>
  <si>
    <t>Full text supplied by user, pp. 2–4</t>
  </si>
  <si>
    <t>Architecture and resource use are described, but no reusable artifacts or raw numerical drift results are identified.</t>
  </si>
  <si>
    <t>Partial — raw data available on request</t>
  </si>
  <si>
    <t>Available — Nordic Thingy:53/nRF5340 and memory capacities specified</t>
  </si>
  <si>
    <t>Partial — Edge Impulse, TFLite Micro, and EON identified; versions/build options NR</t>
  </si>
  <si>
    <t>Partial — recording split and deployment profiler outputs described; no independent instrumentation</t>
  </si>
  <si>
    <t>Full text supplied by user, pp. 1–4</t>
  </si>
  <si>
    <t>Raw data are available on request. No public code/model/firmware repository was identified; memory and latency are Edge Impulse estimates.</t>
  </si>
  <si>
    <t>Available — public MNIST and CIFAR-10 benchmarks; SqueezeNet configurations specified</t>
  </si>
  <si>
    <t>Available — both boards, CPU classes, clocks, and Arduino memory capacities specified</t>
  </si>
  <si>
    <t>Available — TFLM 2.4, NNOM 0.4.3, CMSIS-NN 5.0, compiler and flags</t>
  </si>
  <si>
    <t>Available — models, baselines, repeated timing, uncertainty, and cross-framework test described</t>
  </si>
  <si>
    <t>Full text supplied by user, pp. 10–16</t>
  </si>
  <si>
    <t>Strong procedural detail, but no public implementation, firmware, model artifacts, or raw timing data were identified.</t>
  </si>
  <si>
    <t>Not verifiable — comparison is presented without model/hardware/protocol detail</t>
  </si>
  <si>
    <t>Full text supplied by user, pp. 277–282</t>
  </si>
  <si>
    <t>The empirical claims cannot be independently reconstructed from the paper; use only as conceptual evidence.</t>
  </si>
  <si>
    <t>Available — public WLASL/SemLex datasets and ASL-Kimpinde resource</t>
  </si>
  <si>
    <t>Available — public repository stated</t>
  </si>
  <si>
    <t>Available — FP32 artifacts stated</t>
  </si>
  <si>
    <t>Available — INT8 artifacts stated</t>
  </si>
  <si>
    <t>Not applicable — no MCU firmware produced</t>
  </si>
  <si>
    <t>Partial — CPU proxy identified; no physical target hardware</t>
  </si>
  <si>
    <t>Partial — TensorFlow/TFLite workflow documented; exact versions/build NR</t>
  </si>
  <si>
    <t>Available — splits, runs, latency repetitions, and proxy method described</t>
  </si>
  <si>
    <t>Available — GitHub and Zenodo release stated</t>
  </si>
  <si>
    <t>10.5281/zenodo.18758927</t>
  </si>
  <si>
    <t>Strong for software; no hardware reproduction</t>
  </si>
  <si>
    <t>Full text supplied by user, pp. 7–30 and Data Availability</t>
  </si>
  <si>
    <t>Software/data/model artifacts are reported publicly. No deployed firmware or embedded-device benchmark exists.</t>
  </si>
  <si>
    <t>Available — EuroSAT, RS_C11, and MEDIC are identified</t>
  </si>
  <si>
    <t>Available — STM32N6570-DK, Cortex-M55, Neural-ART, clocks, and SRAM specified</t>
  </si>
  <si>
    <t>Partial — PyTorch and ST Edge AI toolchain named; exact versions/build options NR</t>
  </si>
  <si>
    <t>Partial — datasets, pruning/quantization flow, hardware metrics, and 5 FPS target described; repetitions/uncertainty NR</t>
  </si>
  <si>
    <t>Full text supplied by user, pp. 201–206</t>
  </si>
  <si>
    <t>Physical-board evidence is detailed, but public code, firmware, model artifacts, and raw measurements were not identified.</t>
  </si>
  <si>
    <t>Available — UTA-RLDD is an established external dataset</t>
  </si>
  <si>
    <t>Available — public GitHub repository stated; contents not independently audited</t>
  </si>
  <si>
    <t>Not applicable — no MCU deployment</t>
  </si>
  <si>
    <t>Partial — .cc conversion is described; artifact availability not verified</t>
  </si>
  <si>
    <t>Partial — host workstation specified; no MCU target</t>
  </si>
  <si>
    <t>Partial — TensorFlow/Keras/TFLite and environments identified; versions NR</t>
  </si>
  <si>
    <t>Available/Partial — subject-disjoint split, CV, bootstrap CI, and quantization comparisons described; latency context under-specified</t>
  </si>
  <si>
    <t>Available</t>
  </si>
  <si>
    <t>https://github.com/sihamess/driver_drowsiness_detection_TinyML</t>
  </si>
  <si>
    <t>Full text supplied by user, pp. 5–16</t>
  </si>
  <si>
    <t>Code is publicly stated, but repository contents and model artifacts were not audited. No embedded firmware or physical MCU result exists.</t>
  </si>
  <si>
    <t>Available/reproducible — DeepMIMO O1 generation parameters specified</t>
  </si>
  <si>
    <t>Available — public repository stated; contents not independently audited</t>
  </si>
  <si>
    <t>Available/Partial — deployment repository stated; contents not independently audited</t>
  </si>
  <si>
    <t>Available/Partial — PlatformIO/TFLM repository stated</t>
  </si>
  <si>
    <t>Available — four boards, CPU, clock, SRAM, Flash/cache characteristics specified</t>
  </si>
  <si>
    <t>Available/Partial — PlatformIO, C++17, -O3 and vanilla TFLM specified; exact library versions partly NR</t>
  </si>
  <si>
    <t>Available — warm-up, 3,000 timed samples, included processing stages, and memory-placement conditions specified</t>
  </si>
  <si>
    <t>https://github.com/LucaUrbinati44/DL-on-RISC/</t>
  </si>
  <si>
    <t>Strong/Partial</t>
  </si>
  <si>
    <t>Full text supplied by user, pp. 4612–4620 and repository reference</t>
  </si>
  <si>
    <t>Strong methodological and hardware detail with public code/configuration. Repository contents and raw benchmark files were not independently audited; no repository DOI.</t>
  </si>
  <si>
    <t>Partial — source datasets are public; study-specific processed split not deposited</t>
  </si>
  <si>
    <t>Available — Arduino Nano 33 BLE Sense/TinyML shield described</t>
  </si>
  <si>
    <t>Partial — Edge Impulse and Arduino IDE named; versions NR</t>
  </si>
  <si>
    <t>Partial — split, profiler outputs, and live demo described</t>
  </si>
  <si>
    <t>Full text supplied by user, pp. 3–9</t>
  </si>
  <si>
    <t>Data availability is on request; no public model, code, or firmware. Latency tables are internally inconsistent.</t>
  </si>
  <si>
    <t>Not applicable — no original empirical dataset</t>
  </si>
  <si>
    <t>Not applicable</t>
  </si>
  <si>
    <t>Not applicable — generic methodological discussion</t>
  </si>
  <si>
    <t>Not applicable — no original experiment</t>
  </si>
  <si>
    <t>Not applicable — methodological preprint</t>
  </si>
  <si>
    <t>Full preprint supplied by user, pp. 1–6</t>
  </si>
  <si>
    <t>Use for design and reporting guidance only; exclude from empirical reproducibility and hardware-performance counts.</t>
  </si>
  <si>
    <t>Not available publicly — locally collected 14-day mini-fridge dataset</t>
  </si>
  <si>
    <t>NA — statistical parameters are learned on-device</t>
  </si>
  <si>
    <t>NA — Z-Score detector, not a quantized neural model</t>
  </si>
  <si>
    <t>Available — STM32 NUCLEO-F446RE, ACS712, RTC, and MicroSD are identified</t>
  </si>
  <si>
    <t>Available/Partial — sampling, RMS construction, features, threshold, faults, and 14-day deployment are described</t>
  </si>
  <si>
    <t>Full text supplied by user, pp. 2–6</t>
  </si>
  <si>
    <t>Strong procedural description, but no public dataset, code, firmware, raw logs, or build configuration.</t>
  </si>
  <si>
    <t>NV — full text unavailable; not reported in abstract</t>
  </si>
  <si>
    <t>NV — full text unavailable</t>
  </si>
  <si>
    <t>Partial abstract-level claim — Qualcomm NPU; exact platform NR</t>
  </si>
  <si>
    <t>Partial abstract-level claim — QNN named; versions/options NR</t>
  </si>
  <si>
    <t>NV — abstract reports improvements without verifiable protocol</t>
  </si>
  <si>
    <t>Abstract-only / NV</t>
  </si>
  <si>
    <t>Analysis-package abstract; full text could not be obtained</t>
  </si>
  <si>
    <t>No negative artifact inference is made. Exclude from reproducibility and full-text quantitative denominators.</t>
  </si>
  <si>
    <t>Not available publicly — proprietary/available on request</t>
  </si>
  <si>
    <t>Not reported — generator described but not released</t>
  </si>
  <si>
    <t>Available — Vivado 2020.2, Ubuntu 20.04, synthesis flow described</t>
  </si>
  <si>
    <t>Available/Partial — predictive tests and FPGA implementation described</t>
  </si>
  <si>
    <t>Not available publicly</t>
  </si>
  <si>
    <t>Full text supplied by user, pp. 5–25</t>
  </si>
  <si>
    <t>Strong implementation detail, but industrial data and generator/model artifacts are not public.</t>
  </si>
  <si>
    <t>Partial — public ImageNet subset; exact class/subset indices not supplied</t>
  </si>
  <si>
    <t>Partial — RPi 4, Jetson Nano, Coral TPU, and STM32 are named; exact STM32/configurations incomplete</t>
  </si>
  <si>
    <t>Partial — TFLite 2.12, TensorRT/CUDA and TFLM named; complete versions/options NR</t>
  </si>
  <si>
    <t>Partial — five runs and aggregate metrics reported; instrumentation and boundaries incomplete</t>
  </si>
  <si>
    <t>Full text supplied by user, pp. 6–12</t>
  </si>
  <si>
    <t>The benchmark cannot be reconstructed exactly because hardware, subset, build, and power-measurement details are incomplete.</t>
  </si>
  <si>
    <t>Available — public Galeotti et al. LiPo aging dataset; processed/real-time data not public</t>
  </si>
  <si>
    <t>Available/Partial — Pico W/RP2040, BQ27441, BLE, LabVIEW, UAV, and battery identified</t>
  </si>
  <si>
    <t>Partial — Edge Impulse, EON, Arduino, and LabVIEW named; versions/options NR</t>
  </si>
  <si>
    <t>Partial — dataset evaluation and 30-point real-time test described; split details and repeated trials incomplete</t>
  </si>
  <si>
    <t>Not reported; processed data available on request</t>
  </si>
  <si>
    <t>Full text supplied by user, pp. 4–25</t>
  </si>
  <si>
    <t>Public source dataset improves traceability, but the trained model, firmware, split indices, and real-time traces are unavailable.</t>
  </si>
  <si>
    <t>NA — uses external MLPerf Tiny benchmark workloads</t>
  </si>
  <si>
    <t>Partial — external MLPerf Tiny benchmark models</t>
  </si>
  <si>
    <t>Partial — deployed benchmark models, artifacts not packaged by the study</t>
  </si>
  <si>
    <t>Not reported publicly</t>
  </si>
  <si>
    <t>Available/Partial — main toolchains and OS stated</t>
  </si>
  <si>
    <t>Not available publicly — data available on request</t>
  </si>
  <si>
    <t>Full text supplied by user, pp. 2–8</t>
  </si>
  <si>
    <t>Metrology is highly reproducible from the paper, but modified firmware and raw traces are not publicly identified.</t>
  </si>
  <si>
    <t>Partial — RPi 4B and STM32F746G-DISCO named; results conflict with stated memory</t>
  </si>
  <si>
    <t>Partial — TFLM, TVM, and CMSIS-NN named; versions/options NR</t>
  </si>
  <si>
    <t>Not verifiable — datasets, splits, repetitions, and instrumentation NR</t>
  </si>
  <si>
    <t>Not reported / low confidence</t>
  </si>
  <si>
    <t>Full text supplied by user, pp. 69–74</t>
  </si>
  <si>
    <t>The paper lacks the information needed to reconstruct its task, model adaptation, and hardware results.</t>
  </si>
  <si>
    <t>Available — CIFAR-10, CIFAR-100, and TinyImageNet-200</t>
  </si>
  <si>
    <t>Available — RTX A6000 and Jetson AGX Orin identified</t>
  </si>
  <si>
    <t>Partial — Python and SpikingJelly identified; exact versions/options NR</t>
  </si>
  <si>
    <t>Partial — search variants, parameter budgets, comparisons, and energy-estimation approach described</t>
  </si>
  <si>
    <t>Full text supplied by user, pp. 3–11</t>
  </si>
  <si>
    <t>Public datasets and detailed algorithms aid reproduction, but code, models, environment pinning, and raw timing/power data are absent.</t>
  </si>
  <si>
    <t>NA — narrative review</t>
  </si>
  <si>
    <t>NA — no original experiment</t>
  </si>
  <si>
    <t>NA — multiple literature examples</t>
  </si>
  <si>
    <t>Full text supplied by user, pp. 1–8</t>
  </si>
  <si>
    <t>The review does not report a systematic-search or reproducible review protocol; use only as qualitative background.</t>
  </si>
  <si>
    <t>Not reported — exact MCU, ECG hardware, and instrument are absent</t>
  </si>
  <si>
    <t>Not verifiable — participant/sample, device, repetitions, and instrumentation NR</t>
  </si>
  <si>
    <t>Clinical acquisition, ethics, implementation, and measurement evidence cannot be reconstructed; metrics conflict across the text.</t>
  </si>
  <si>
    <t>Not public — simulated dataset available upon reasonable request</t>
  </si>
  <si>
    <t>Available upon request — Google Colab implementation stated</t>
  </si>
  <si>
    <t>Available upon request</t>
  </si>
  <si>
    <t>Available/Partial — ESP32-WROOM-32 and clock are specified</t>
  </si>
  <si>
    <t>Partial — TFLite Micro 2.14 reported; embedded build options NR</t>
  </si>
  <si>
    <t>Available/Partial — temporal split, model settings, 1000 latency runs, and CI are documented; power is estimated</t>
  </si>
  <si>
    <t>Full text supplied by user, pp. 6–18</t>
  </si>
  <si>
    <t>Code, SUMO files, and data are only available on request; no persistent public release was identified.</t>
  </si>
  <si>
    <t>Not reported — FPGA part/board absent</t>
  </si>
  <si>
    <t>Not verifiable</t>
  </si>
  <si>
    <t>Full text supplied by user, pp. 28–31</t>
  </si>
  <si>
    <t>The architecture is described conceptually, but the implementation and measurement record cannot be reconstructed.</t>
  </si>
  <si>
    <t>Available — repository states datasets are included</t>
  </si>
  <si>
    <t>Available — Zenodo repository stated</t>
  </si>
  <si>
    <t>Available/Partial — model files stated in repository description</t>
  </si>
  <si>
    <t>Available/Partial — predictive model files stated</t>
  </si>
  <si>
    <t>Available — XIAO nRF52840 target specifications</t>
  </si>
  <si>
    <t>Partial — TensorFlow/TFLite named; exact simulation environment NR</t>
  </si>
  <si>
    <t>Partial — speaker split and robustness tests documented; hardware simulation method incomplete</t>
  </si>
  <si>
    <t>Available/Partial — repository described but not independently audited</t>
  </si>
  <si>
    <t>Available — Zenodo</t>
  </si>
  <si>
    <t>10.5281/zenodo.18703701</t>
  </si>
  <si>
    <t>Full text supplied by user, pp. 7–18 and Data Availability statement</t>
  </si>
  <si>
    <t>Persistent repository is a major strength; artifact contents, license, and exact reproducibility were not independently audited.</t>
  </si>
  <si>
    <t>Available — four public benchmark datasets</t>
  </si>
  <si>
    <t>Available on request</t>
  </si>
  <si>
    <t>Available/Partial — devices and headline specifications stated</t>
  </si>
  <si>
    <t>Partial — PyTorch 2.1, Transformers 4.35, CUDA 12.0; edge build details NR</t>
  </si>
  <si>
    <t>Partial — five runs and statistical tests for main comparison; edge measurement method incomplete</t>
  </si>
  <si>
    <t>Full text supplied by user, pp. 7–12</t>
  </si>
  <si>
    <t>Public datasets and software versions help, but no public code/model release or device measurement traces are identified.</t>
  </si>
  <si>
    <t>NA — survey</t>
  </si>
  <si>
    <t>NA — surveyed tools</t>
  </si>
  <si>
    <t>Limited review reproducibility</t>
  </si>
  <si>
    <t>Full text supplied by user, pp. 1–50</t>
  </si>
  <si>
    <t>The survey has extensive references and taxonomies but no reproducible search, screening, extraction, or quality-appraisal protocol.</t>
  </si>
  <si>
    <t>Available — four referenced public/accessible datasets</t>
  </si>
  <si>
    <t>Available — open-source notebooks</t>
  </si>
  <si>
    <t>Available — open-source TICE repository</t>
  </si>
  <si>
    <t>Available/Partial — notebook workflow; packaged releases not independently audited</t>
  </si>
  <si>
    <t>Available/Partial — notebooks generate TFLite artifacts</t>
  </si>
  <si>
    <t>Partial — code-generation/deployment workflow supplied; complete application firmware NR</t>
  </si>
  <si>
    <t>Available/Partial — generated C supported</t>
  </si>
  <si>
    <t>Available — five boards and memory/clock specifications</t>
  </si>
  <si>
    <t>Partial — frameworks and cloud tools named; full environment pinning incomplete</t>
  </si>
  <si>
    <t>Available/Partial — splits, quantization, board metrics, USB multimeter, and 100-run averaging described</t>
  </si>
  <si>
    <t>Available — GitHub</t>
  </si>
  <si>
    <t>https://github.com/Elios-Lab/tice</t>
  </si>
  <si>
    <t>Full text supplied by user, pp. 3–12</t>
  </si>
  <si>
    <t>One of the strongest open-science records in the core corpus, though repository releases and raw energy traces remain unaudited.</t>
  </si>
  <si>
    <t>Not reported — devices are examples only</t>
  </si>
  <si>
    <t>Full text supplied by user, pp. 3–10</t>
  </si>
  <si>
    <t>The numerical tables are internally inconsistent and have no traceable experimental source.</t>
  </si>
  <si>
    <t>Available/Partial — Arduino Nano 33 BLE, fan, and sampling described</t>
  </si>
  <si>
    <t>Available/Partial — timing over 3,000 samples and adaptation procedure described</t>
  </si>
  <si>
    <t>Not available at publication — open sourcing listed as future work</t>
  </si>
  <si>
    <t>Full text supplied by user, pp. 2–7</t>
  </si>
  <si>
    <t>No public data, code, firmware, or model artifacts were identified in the paper.</t>
  </si>
  <si>
    <t>Available — LibriSpeech, SLURP, and SUPERB/public task datasets</t>
  </si>
  <si>
    <t>Available externally — pretrained Hugging Face baselines; compressed models not public</t>
  </si>
  <si>
    <t>Not reported — ARM Compute Library implementation described</t>
  </si>
  <si>
    <t>Available — HiKey970 and RTX 3080 identified</t>
  </si>
  <si>
    <t>Partial — PyTorch, Hugging Face, Lightning, ARM Compute Library; versions/options NR</t>
  </si>
  <si>
    <t>Available/Partial — datasets, pruning/KD hyperparameters, measured lookup-table process, baselines, and stability tests described</t>
  </si>
  <si>
    <t>Full text supplied by user, pp. 15–28</t>
  </si>
  <si>
    <t>Detailed algorithms and public inputs support conceptual reproduction, but code, compressed models, latency LUTs, and raw device traces are absent.</t>
  </si>
  <si>
    <t>Available — CORe50 NICv2-391</t>
  </si>
  <si>
    <t>Partial — MobileNetV1 and prior latent-replay method are specified; artifacts NR</t>
  </si>
  <si>
    <t>NA — FP32 continual-learning study</t>
  </si>
  <si>
    <t>Not reported — PULP kernels and simulator extension described</t>
  </si>
  <si>
    <t>Available — RISC-V cluster, memories, DMA, and external storage are specified</t>
  </si>
  <si>
    <t>Partial — PULP/cycle-accurate simulator basis stated; versions/options NR</t>
  </si>
  <si>
    <t>Available/Partial — learning batch, epochs, memory model, simulator frequency, and accuracy benchmark described</t>
  </si>
  <si>
    <t>Full conference paper supplied by user, pp. 1–6</t>
  </si>
  <si>
    <t>Accuracy and architecture are transparent, but latency is simulated and energy is estimated from a related silicon platform.</t>
  </si>
  <si>
    <t>Available — VWW, Google Speech Commands, and MIMII public benchmarks</t>
  </si>
  <si>
    <t>Available/Partial — training scripts in public ML-zoo repository</t>
  </si>
  <si>
    <t>Available — public ML-zoo repository</t>
  </si>
  <si>
    <t>Available/Partial — model artifacts are stated in ML-zoo</t>
  </si>
  <si>
    <t>Available/Partial — deployable model artifacts are stated</t>
  </si>
  <si>
    <t>Not reported as a complete application release</t>
  </si>
  <si>
    <t>Partial — TFLM/CMSIS-NN deployment stack is public; paper-specific firmware NR</t>
  </si>
  <si>
    <t>Available — three STM32 boards, memory capacities, and MCU classes are specified</t>
  </si>
  <si>
    <t>Partial — TFLM, CMSIS-NN, Mbed, and Otii are identified; full version pinning NR</t>
  </si>
  <si>
    <t>Available/Partial — latency, SRAM/Flash, and energy methods are described</t>
  </si>
  <si>
    <t>https://github.com/ARM-software/ML-zoo</t>
  </si>
  <si>
    <t>Full proceedings paper supplied by user, pp. 1–16</t>
  </si>
  <si>
    <t>Strong public model/training support, but raw device traces, exact environment pinning, and complete firmware are not identified.</t>
  </si>
  <si>
    <t>Available — MLPerf Tiny and Deep Learning Matrix Collection matrices</t>
  </si>
  <si>
    <t>Available/Partial — public MEMA-MM implementation</t>
  </si>
  <si>
    <t>NA — runtime/kernel study</t>
  </si>
  <si>
    <t>NA — benchmark matrices/models are external</t>
  </si>
  <si>
    <t>NA — kernel/runtime evaluation</t>
  </si>
  <si>
    <t>Available — public C++/intrinsics implementation</t>
  </si>
  <si>
    <t>Available — Cortex-M4, Cortex-M7, and Cortex-A72 platforms specified</t>
  </si>
  <si>
    <t>Partial — comparison libraries and implementation language specified; full versions/options incomplete</t>
  </si>
  <si>
    <t>Available — energy instrument, sampling interval, voltage/current range, and repeated trials are described</t>
  </si>
  <si>
    <t>https://github.com/vnatesh/MEMA-MM</t>
  </si>
  <si>
    <t>Full arXiv preprint supplied by user, pp. 1–7</t>
  </si>
  <si>
    <t>Code and measurement setup are public/explicit, but raw power traces and full reproducible build environments are not supplied.</t>
  </si>
  <si>
    <t>NA — systematic review; 60 included studies</t>
  </si>
  <si>
    <t>NA — multiple reviewed tools</t>
  </si>
  <si>
    <t>Available for review process — databases, Boolean query, PRISMA flow, inclusion/exclusion, and OSF protocol</t>
  </si>
  <si>
    <t>NA/Not reported — no original benchmark</t>
  </si>
  <si>
    <t>Available — OSF protocol registration</t>
  </si>
  <si>
    <t>10.17605/OSF.IO/GNRH4</t>
  </si>
  <si>
    <t>Strong/Partial review reproducibility</t>
  </si>
  <si>
    <t>Full text supplied by user, pp. 2–4 and Supplementary Materials statement</t>
  </si>
  <si>
    <t>Protocol and PRISMA checklist are available, but no public extraction dataset, screening log, or code is identified.</t>
  </si>
  <si>
    <t>Available — MLPerf Tiny task datasets; study-specific processed artifacts are request-only</t>
  </si>
  <si>
    <t>Available — STM32H743ZI, memory, clock, voltage/frequency states</t>
  </si>
  <si>
    <t>Available — TFLM/CMSIS-NN, Arm GCC 12.3, compiler/linker flags</t>
  </si>
  <si>
    <t>Available — PPKII, 1 kHz, 100 warmups, 1000 inferences, five independent runs</t>
  </si>
  <si>
    <t>Available on request; not public</t>
  </si>
  <si>
    <t>Full text supplied by user, pp. 13–21</t>
  </si>
  <si>
    <t>Detailed method and compiler settings, but no public code, models, firmware, or raw traces.</t>
  </si>
  <si>
    <t>NA — systematic review of 35 studies</t>
  </si>
  <si>
    <t>NA — reviewed frameworks</t>
  </si>
  <si>
    <t>Available/Partial — research questions, databases, query, dates, criteria, PRISMA flow, and extraction categories</t>
  </si>
  <si>
    <t>NA/Not reported</t>
  </si>
  <si>
    <t>Partial/Strong review transparency</t>
  </si>
  <si>
    <t>Full text supplied by user, pp. 9–13 and 38–40</t>
  </si>
  <si>
    <t>Transparent published protocol, but no registered protocol, public screening decisions, extraction table, or review code.</t>
  </si>
  <si>
    <t>Available — public model/dataset repository stated</t>
  </si>
  <si>
    <t>Available/Partial — repository not independently audited</t>
  </si>
  <si>
    <t>Available/Partial — repository stated</t>
  </si>
  <si>
    <t>Available/Partial — VNN models stated</t>
  </si>
  <si>
    <t>Not fully audited/reported</t>
  </si>
  <si>
    <t>Partial — CMSIS-NN/X-CUBE-AI/PULP stacks are identified; application firmware NR</t>
  </si>
  <si>
    <t>Available — NXP K64F, STM32L476, GAP8, cameras, memories, and frequencies</t>
  </si>
  <si>
    <t>Partial — main runtimes identified; exact versions and build options incomplete</t>
  </si>
  <si>
    <t>Available/Partial — track setup, distributions, latency/energy comparisons, and closed-loop process described</t>
  </si>
  <si>
    <t>https://github.com/praesc/Robust-navigation-with-TinyML</t>
  </si>
  <si>
    <t>Full text supplied by user, pp. 6–14</t>
  </si>
  <si>
    <t>Public repository strengthens traceability, but full firmware, raw power traces, and exact environment pinning remain unaudited.</t>
  </si>
  <si>
    <t>Not available publicly — local audio/image and facial-expression examples</t>
  </si>
  <si>
    <t>NA/Not reported — memory-based k-NN/RBF configuration</t>
  </si>
  <si>
    <t>Available/Partial — DE2-115/Cyclone-IV, MAX10, N-cell/vector configurations, and SPI are described</t>
  </si>
  <si>
    <t>Partial — simulation sweeps, k-fold facial test, and timing setup described</t>
  </si>
  <si>
    <t>Partial/Weak</t>
  </si>
  <si>
    <t>Full journal paper supplied by user, pp. 1–12</t>
  </si>
  <si>
    <t>The architecture and prototype are described, but datasets, HDL, code, power traces, and build files are unavailable.</t>
  </si>
  <si>
    <t>Available — SVHN, CIFAR-10, and Tiny-ImageNet-200</t>
  </si>
  <si>
    <t>Available/Partial — public repository</t>
  </si>
  <si>
    <t>Available — public repository</t>
  </si>
  <si>
    <t>Not independently audited</t>
  </si>
  <si>
    <t>NA — simulation/model-alignment study</t>
  </si>
  <si>
    <t>Not reported — no physical deployment</t>
  </si>
  <si>
    <t>Not fully reported</t>
  </si>
  <si>
    <t>Available/Partial — architecture classes, SNRs, anchor sizes, dimensions, baselines, runtime and resource formulas/tables</t>
  </si>
  <si>
    <t>https://github.com/SongjieXie/feature-alignment-TOC</t>
  </si>
  <si>
    <t>Full text supplied by user, pp. 4269–4274</t>
  </si>
  <si>
    <t>Source code is public, but hardware/runtime environment and raw output provenance are incomplete.</t>
  </si>
  <si>
    <t>Available — five public benchmark datasets and sampled-task counts</t>
  </si>
  <si>
    <t>Available/Partial — experiment scripts cited in repository</t>
  </si>
  <si>
    <t>NA — pre-quantized inference benchmark</t>
  </si>
  <si>
    <t>Available externally through Ollama model distribution</t>
  </si>
  <si>
    <t>Available externally — named Ollama/llama.cpp variants</t>
  </si>
  <si>
    <t>Available externally — llama.cpp; study scripts separate</t>
  </si>
  <si>
    <t>Available — Raspberry Pi 4/5 and primary measurement arrangement</t>
  </si>
  <si>
    <t>Partial — Ollama/llama.cpp named; complete version pinning NR</t>
  </si>
  <si>
    <t>Available — Joulescope sampling, automated synchronization, timeout, datasets, prompts, and metrics</t>
  </si>
  <si>
    <t>Partial — repository cited; raw Joulescope trace availability not confirmed</t>
  </si>
  <si>
    <t>Available/Partial — experiment repository cited as Reference [16]</t>
  </si>
  <si>
    <t>Repository URL printed in the PDF should be verified before final submission</t>
  </si>
  <si>
    <t>Full text supplied by user, pp. 7–29</t>
  </si>
  <si>
    <t>High procedural transparency; repository contents, exact versions, and raw traces were not independently audited.</t>
  </si>
  <si>
    <t>Available — VWW and Google Speech Commands</t>
  </si>
  <si>
    <t>Available — public GitHub repository</t>
  </si>
  <si>
    <t>Partial — TFLM runtime public; paper-specific firmware NR</t>
  </si>
  <si>
    <t>Available — Arducam Pico4ML / Cortex-M0</t>
  </si>
  <si>
    <t>Partial — TensorFlow 2 and TFLM named; exact versions/build options NR</t>
  </si>
  <si>
    <t>Partial — pruning points and headline physical latency/size results; repetitions/uncertainty NR</t>
  </si>
  <si>
    <t>https://github.com/jd-deleon/depth-pruning-auxnets</t>
  </si>
  <si>
    <t>Full text supplied by user, pp. 2–5</t>
  </si>
  <si>
    <t>Public code is a major strength, but firmware, raw timing traces, and energy measurements are absent.</t>
  </si>
  <si>
    <t>Available — CIFAR-10</t>
  </si>
  <si>
    <t>Available/Partial — public ATAMAN toolkit</t>
  </si>
  <si>
    <t>Available/Partial — generated MCU code through toolkit; release not audited</t>
  </si>
  <si>
    <t>Available/Partial — specialized generated kernels</t>
  </si>
  <si>
    <t>Available — STM32U575ZI-Q, 160 MHz, 2 MB Flash, 768 kB RAM</t>
  </si>
  <si>
    <t>Partial — CMSIS-NN/X-CUBE-AI and public toolkit; exact environment NR</t>
  </si>
  <si>
    <t>Partial — physical latency/Flash/MAC/energy table; energy instrument and repetitions NR</t>
  </si>
  <si>
    <t>https://github.com/GeorgeMentzos/ATAMAN-AuTo-driven-Approximation-and-Microcontroller-AcceleratioN-Toolkit</t>
  </si>
  <si>
    <t>Public framework improves reproducibility, but measurement provenance and exact build state remain incomplete.</t>
  </si>
  <si>
    <t>Available — CIFAR-10, VWW, and FDDB</t>
  </si>
  <si>
    <t>Described — custom TFLM C/Helium operator; source not released</t>
  </si>
  <si>
    <t>Partial — Cortex-M55/Corstone-300 and 120 MHz reported; physical platform details unresolved</t>
  </si>
  <si>
    <t>Partial — Python 3.6, TensorFlow 2.6, TFLM, C/Helium; complete build options NR</t>
  </si>
  <si>
    <t>Partial — resource limits, models, datasets, and figure-level comparisons; platform provenance/repetitions NR</t>
  </si>
  <si>
    <t>Full text supplied by user, pp. 1–9</t>
  </si>
  <si>
    <t>Detailed algorithmic design, but no artifacts and ambiguous physical-versus-model hardware execution.</t>
  </si>
  <si>
    <t>NA — article states no data were used</t>
  </si>
  <si>
    <t>Not reported — compiler flow described</t>
  </si>
  <si>
    <t>Available/Partial — fabricated-silicon results and baselines reported</t>
  </si>
  <si>
    <t>Architecture and toolchain are detailed, but no public implementation package is identified.</t>
  </si>
  <si>
    <t>NA — circuit architecture study</t>
  </si>
  <si>
    <t>Partial — TIGFET/RRAM and BLADE concepts are described; process/model details are incomplete</t>
  </si>
  <si>
    <t>Partial — 2×2 transient simulation and read sequence are described</t>
  </si>
  <si>
    <t>Weak</t>
  </si>
  <si>
    <t>Full conference paper supplied by user, pp. 1–4</t>
  </si>
  <si>
    <t>No simulation deck, device models, fabricated macro, or public artifacts were identified.</t>
  </si>
  <si>
    <t>Partial — workloads/datasets described; repository contents not audited</t>
  </si>
  <si>
    <t>Partial — public benchmark repository identified</t>
  </si>
  <si>
    <t>Partial/NA depending workload</t>
  </si>
  <si>
    <t>Partial — benchmark implementations public; model artifacts not audited</t>
  </si>
  <si>
    <t>Partial — deployed C/C++ workloads in public repository</t>
  </si>
  <si>
    <t>Available/Partial — C/C++ benchmark source is public</t>
  </si>
  <si>
    <t>Partial — SDKs and -O3 described; exact version pinning incomplete</t>
  </si>
  <si>
    <t>https://github.com/esl-epfl/biomedbench ; https://biomedbench.epfl.ch/</t>
  </si>
  <si>
    <t>Partial — strong open-source implementation</t>
  </si>
  <si>
    <t>Repository and website verified from full text; artifact contents, license, and version pinning still require repository audit.</t>
  </si>
  <si>
    <t>Available — CIFAR-10; dog/non-dog subset derived from CIFAR-10</t>
  </si>
  <si>
    <t>Available — Raspberry Pi 4B, server CPUs/T4, WLAN, TCP</t>
  </si>
  <si>
    <t>Partial — Keras/TFLite and iPerf named; versions/options NR</t>
  </si>
  <si>
    <t>Available/Partial — exact image counts, thresholds, thirty bandwidth runs, and local/offload timings</t>
  </si>
  <si>
    <t>Full text supplied by user, pp. 3–6</t>
  </si>
  <si>
    <t>Hardware/network protocol is reasonably clear, but model artifacts, code, raw traces, and energy measurements are absent.</t>
  </si>
  <si>
    <t>Not available publicly — available on request</t>
  </si>
  <si>
    <t>NA for current embedded prototype</t>
  </si>
  <si>
    <t>NA — no TinyML model deployed in current prototype</t>
  </si>
  <si>
    <t>Available/Partial — field sensing/connectivity comparison described</t>
  </si>
  <si>
    <t>Partial — platform reproducibility only</t>
  </si>
  <si>
    <t>Full text supplied by user, pp. 10–14 and 38–55</t>
  </si>
  <si>
    <t>This record supports field platform evidence only; it must not be coded as embedded-ML performance evidence.</t>
  </si>
  <si>
    <t>Available — ImageNet and public Keras pretrained models</t>
  </si>
  <si>
    <t>NA — pretrained inference/reliability study</t>
  </si>
  <si>
    <t>Available externally — Keras pretrained models</t>
  </si>
  <si>
    <t>Not released</t>
  </si>
  <si>
    <t>Not released — enhanced flash firmware is proposed</t>
  </si>
  <si>
    <t>Partial — measured BiCS flash source and conceptual firmware/storage architecture</t>
  </si>
  <si>
    <t>Partial — Keras and pyldpc 0.7.9 named; simulation environment NR</t>
  </si>
  <si>
    <t>Available/Partial — reliability equation, calibrated coefficients, P/E/retention settings, model quantization, and accuracy evaluation described</t>
  </si>
  <si>
    <t>Full text supplied by user, pp. 15–22</t>
  </si>
  <si>
    <t>Public models and explicit reliability model support conceptual reproduction; no code, measured flash dataset, firmware, or simulation deck.</t>
  </si>
  <si>
    <t>NA — narrative/scoping review of 66 retained papers</t>
  </si>
  <si>
    <t>NA — heterogeneous reviewed systems</t>
  </si>
  <si>
    <t>Partial/Weak — sources, period, broad eligibility logic, 135 reviewed and 66 retained are stated</t>
  </si>
  <si>
    <t>Weak/Partial review reproducibility</t>
  </si>
  <si>
    <t>Full text supplied by user, pp. 2–4 and 21–23</t>
  </si>
  <si>
    <t>No exact query, search date, screening log, quality assessment, extraction dataset, protocol registration, or repository.</t>
  </si>
  <si>
    <t>Partial — input image collections and labels are described; raw benchmark outputs are not public</t>
  </si>
  <si>
    <t>NA — pre-existing image classifiers</t>
  </si>
  <si>
    <t>Available externally for two TensorFlow Lite models; converted digit model not packaged</t>
  </si>
  <si>
    <t>Partial — TFL models described but not released as a study package</t>
  </si>
  <si>
    <t>NA — Python/SoC benchmark</t>
  </si>
  <si>
    <t>Available — five SoCs, memory, CPU/GPU/TPU, storage, and approximate prices</t>
  </si>
  <si>
    <t>Partial — Python 3.10, Elasticsearch 7.13.4, TFLite, Pillow, psutil, Kibana; OS/dependency versions incomplete</t>
  </si>
  <si>
    <t>Partial — idle windows, metrics, repeated loading/inference concept, external meter, and logging flow described; exact run counts/uncertainty NR</t>
  </si>
  <si>
    <t>Not public; article states data are contained within the paper</t>
  </si>
  <si>
    <t>Full text supplied by user, pp. 8–19</t>
  </si>
  <si>
    <t>Device and software setup are described, but code, raw JSON, model package, OS images, and exact repetition counts are unavailable.</t>
  </si>
  <si>
    <t>Partial — ETHZ AI Benchmark named; exact workload configuration NR</t>
  </si>
  <si>
    <t>Partial — P90 heterogeneous SoC architecture and process node reported</t>
  </si>
  <si>
    <t>Not verifiable — benchmark scores and pipeline gains lack detailed methods</t>
  </si>
  <si>
    <t>Full two-page conference paper supplied by user</t>
  </si>
  <si>
    <t>Industrial architecture and headline metrics are useful, but independent reproduction is not possible from the paper.</t>
  </si>
  <si>
    <t>Available — MNIST, CIFAR-10, and Tiny-ImageNet; exact biased subsets/splits incomplete</t>
  </si>
  <si>
    <t>Partial — FPGA edge, STM32F407, Jetson Nano, and cloud server identified; FPGA/core details conflict</t>
  </si>
  <si>
    <t>Partial/Not verifiable — headline timing, communication, and accuracy results are given without sufficient repetitions/boundaries</t>
  </si>
  <si>
    <t>Weak/Partial</t>
  </si>
  <si>
    <t>Full text supplied by user, pp. 120780–120783</t>
  </si>
  <si>
    <t>The concept and testbed are described, but implementation artifacts and enough detail to reproduce the metrics are unavailable.</t>
  </si>
  <si>
    <t>Partial — COCO 2017 calibration subset and published COCO mAP; study data available on request</t>
  </si>
  <si>
    <t>NA — original published YOLO weights used</t>
  </si>
  <si>
    <t>Available externally — original YOLO PyTorch weights</t>
  </si>
  <si>
    <t>Not public — RKNN binaries and calibration indices not released</t>
  </si>
  <si>
    <t>NA/Not reported — SoC runtime applications not released</t>
  </si>
  <si>
    <t>Available — three Rockchip SoCs, CPU/NPU, memory, and measured bandwidth</t>
  </si>
  <si>
    <t>Available/Partial — RKNN Toolkit 2.3.0, default PTQ, graph fusion, mbw, and stress-ng; complete SDK/OS versions NR</t>
  </si>
  <si>
    <t>Available — six resolutions, 100 runs, 10 warmups discarded, &lt;1% latency SD, contention tests, external USB power meter</t>
  </si>
  <si>
    <t>Available on reasonable request; not public</t>
  </si>
  <si>
    <t>Full text supplied by user, pp. 2–11</t>
  </si>
  <si>
    <t>Highly detailed experimental workflow, but code, converted models, calibration-image list, scripts, and raw traces are not publicly released.</t>
  </si>
  <si>
    <t>Available — standard image inputs and eight public CNN model families; exact input dataset per model is implicit/external</t>
  </si>
  <si>
    <t>Available/NA for pretrained models; DRL implementation not public</t>
  </si>
  <si>
    <t>External pretrained CNNs; exact artifacts NR</t>
  </si>
  <si>
    <t>NA — FP16 TensorRT inference</t>
  </si>
  <si>
    <t>NA — Python/TensorRT testbed</t>
  </si>
  <si>
    <t>Available — Pi3, Nano, TX2, Xavier, controller, phone, router, bandwidth groups</t>
  </si>
  <si>
    <t>Partial — Python 3, TensorRT FP16, OpenWrt, TCP; versions/options incomplete</t>
  </si>
  <si>
    <t>Available — 100-repeat profiles, 5000-image streams, bandwidth groups, DRL hyperparameters, dynamic-network setup</t>
  </si>
  <si>
    <t>Full text supplied by user, pp. 1102–1106</t>
  </si>
  <si>
    <t>Extensive physical-testbed detail, but no code, trained actor, raw profiles, or public repository.</t>
  </si>
  <si>
    <t>Not public — 2022–2023 LVDN historical data available on request</t>
  </si>
  <si>
    <t>Not reported — concrete library models unspecified</t>
  </si>
  <si>
    <t>Not reported — only simulated terminal/topology roles</t>
  </si>
  <si>
    <t>Partial — Python/TensorFlow/TFLite and Matlab named; versions/options NR</t>
  </si>
  <si>
    <t>Partial — 17-node scenario, 2022–2023 period, priority classes, PSO settings, and aggregate processing times</t>
  </si>
  <si>
    <t>The optimization model is documented at a high level, but no concrete AI artifact or physical deployment can be reproduced.</t>
  </si>
  <si>
    <t>Issue ID</t>
  </si>
  <si>
    <t>Scope / ID</t>
  </si>
  <si>
    <t>Category</t>
  </si>
  <si>
    <t>Finding</t>
  </si>
  <si>
    <t>Risk</t>
  </si>
  <si>
    <t>Proposed resolution</t>
  </si>
  <si>
    <t>Status</t>
  </si>
  <si>
    <t>Decision / evidence</t>
  </si>
  <si>
    <t>Owner / next step</t>
  </si>
  <si>
    <t>QC-001</t>
  </si>
  <si>
    <t>All 55</t>
  </si>
  <si>
    <t>Current structured extraction is based on the supplied manuscript plus metadata/abstracts, not systematic full-text inspection.</t>
  </si>
  <si>
    <t>Complete full-text, supplement, and repository audit before quantitative claims.</t>
  </si>
  <si>
    <t>Open</t>
  </si>
  <si>
    <t>Acquire/inspect full texts</t>
  </si>
  <si>
    <t>QC-002</t>
  </si>
  <si>
    <t>A10; A21; A22</t>
  </si>
  <si>
    <t>These records are preprints and must not be treated as peer-reviewed evidence.</t>
  </si>
  <si>
    <t>Keep the preprint flag visible and test whether conclusions remain stable without them.</t>
  </si>
  <si>
    <t>Controlled</t>
  </si>
  <si>
    <t>Preprint labels retained</t>
  </si>
  <si>
    <t>Sensitivity analysis</t>
  </si>
  <si>
    <t>QC-003</t>
  </si>
  <si>
    <t>Bibliography</t>
  </si>
  <si>
    <t>Full-text title page uses 'Drift Compensation'; the article's own suggested citation contains the typo 'Drift Ompensation'.</t>
  </si>
  <si>
    <t>Retain the corrected title in the manuscript and document the publisher-side citation typo.</t>
  </si>
  <si>
    <t>Resolved</t>
  </si>
  <si>
    <t>Verified against supplied PDF p.1</t>
  </si>
  <si>
    <t>No title change required</t>
  </si>
  <si>
    <t>QC-004</t>
  </si>
  <si>
    <t>Validation ambiguity</t>
  </si>
  <si>
    <t>Full text confirms on-device experiments on Arduino Nano 33 BLE with a controlled USB-fan anomaly setup.</t>
  </si>
  <si>
    <t>Code as validation level 4 and retain reported inference/update timing distributions.</t>
  </si>
  <si>
    <t>Physical hardware and timings verified in pp.4–7/Table I</t>
  </si>
  <si>
    <t>Use full-text coding</t>
  </si>
  <si>
    <t>QC-005</t>
  </si>
  <si>
    <t>Scope boundary</t>
  </si>
  <si>
    <t>Full text explicitly states that no TinyML model is deployed in the current A81 prototype; later future-work language is potentially ambiguous.</t>
  </si>
  <si>
    <t>Use A81 only as field-platform, sensing, connectivity, and power-architecture evidence; exclude it from ML performance counts.</t>
  </si>
  <si>
    <t>Explicit scope statement p.10; field evidence pp.50–55</t>
  </si>
  <si>
    <t>Maintain scope boundary in manuscript and analyses</t>
  </si>
  <si>
    <t>QC-006</t>
  </si>
  <si>
    <t>Validation maturity</t>
  </si>
  <si>
    <t>A09 includes a physical live demonstration, but resource values are Edge Impulse profiler outputs. Latency is internally inconsistent: 76.48 s in Table VI versus 7.648 s in Table VII; reported RAM also exceeds stated board SRAM.</t>
  </si>
  <si>
    <t>Code validation as physical demonstration plus profiler estimates; do not label system metrics as directly measured; flag latency and memory inconsistencies.</t>
  </si>
  <si>
    <t>Verified in full text pp.6–8, Tables VI–VII</t>
  </si>
  <si>
    <t>Resolve wording before quantitative synthesis</t>
  </si>
  <si>
    <t>QC-007</t>
  </si>
  <si>
    <t>Open-science claim</t>
  </si>
  <si>
    <t>A79 full text provides a public GitHub repository and project website, but repository contents, license, releases, and version pinning have not been independently audited.</t>
  </si>
  <si>
    <t>Code the repository as available and retain overall reproducibility as partial until artifact-level audit.</t>
  </si>
  <si>
    <t>Repository URLs verified in full text</t>
  </si>
  <si>
    <t>Repository audit in reproducibility phase</t>
  </si>
  <si>
    <t>QC-008</t>
  </si>
  <si>
    <t>Metric context</t>
  </si>
  <si>
    <t>A56 full text documents the fabricated SoC, workload, compiler flow, baseline comparisons, power, efficiency, accuracy, and latency context.</t>
  </si>
  <si>
    <t>Use the reported metrics as physical fabricated-silicon evidence, with workload-specific qualification.</t>
  </si>
  <si>
    <t>Verified in pp.2–6, Figs. 5–8 and Table 1</t>
  </si>
  <si>
    <t>Use directed extraction</t>
  </si>
  <si>
    <t>QC-009</t>
  </si>
  <si>
    <t>Corpus accounting</t>
  </si>
  <si>
    <t>The configured quota was 30; the detailed core contains 29 studies. A173 is treated as complementary evidence.</t>
  </si>
  <si>
    <t>Preserve explicit corpus accounting in the methodology.</t>
  </si>
  <si>
    <t>29 core + 26 complementary</t>
  </si>
  <si>
    <t>No change</t>
  </si>
  <si>
    <t>QC-010</t>
  </si>
  <si>
    <t>Reproducibility semantics</t>
  </si>
  <si>
    <t>Not mentioned in an abstract must not be coded as Not available.</t>
  </si>
  <si>
    <t>Use Pending full-text audit / Not reported until repositories are checked.</t>
  </si>
  <si>
    <t>Codebook rule added</t>
  </si>
  <si>
    <t>Apply consistently</t>
  </si>
  <si>
    <t>QC-011</t>
  </si>
  <si>
    <t>Toolchain taxonomy</t>
  </si>
  <si>
    <t>Evidence gap</t>
  </si>
  <si>
    <t>STM32Cube.AI and microTVM are part of the planned taxonomy but are not yet supported by verified extraction in this corpus.</t>
  </si>
  <si>
    <t>Include only after a cited full-text source explicitly documents their use.</t>
  </si>
  <si>
    <t>Full-text coding</t>
  </si>
  <si>
    <t>QC-012</t>
  </si>
  <si>
    <t>All metrics</t>
  </si>
  <si>
    <t>Comparability</t>
  </si>
  <si>
    <t>Accuracy, latency, memory, and energy arise from heterogeneous tasks, datasets, devices, and measurement boundaries.</t>
  </si>
  <si>
    <t>Use counts/distributions and stratified comparisons; avoid naive ranking across incompatible studies.</t>
  </si>
  <si>
    <t>Analysis design</t>
  </si>
  <si>
    <t>QC-013</t>
  </si>
  <si>
    <t>Bibliographic metadata</t>
  </si>
  <si>
    <t>The supplied PDF title page lists P.S. Karthikkumar, S. Vignesh, Ezhumalai A, Raghul Raj A, and Nithishwaran G, whereas the integrated reference contains four authors in a different order.</t>
  </si>
  <si>
    <t>Reconcile the canonical author list against the publisher record before final reference numbering; do not change the manuscript silently.</t>
  </si>
  <si>
    <t>Discrepancy verified on PDF p.1</t>
  </si>
  <si>
    <t>Bibliographic reconciliation</t>
  </si>
  <si>
    <t>QC-014</t>
  </si>
  <si>
    <t>Metric provenance / validation design</t>
  </si>
  <si>
    <t>Physical deployment is confirmed, but latency and memory footprints are explicitly Edge Impulse estimates; the train/test split includes the same five subjects.</t>
  </si>
  <si>
    <t>Code hardware deployment separately from profiler-derived metrics and do not treat the predictive result as subject-independent generalization.</t>
  </si>
  <si>
    <t>Full text pp. 1–4 and Table II</t>
  </si>
  <si>
    <t>Preserve distinction in quantitative synthesis</t>
  </si>
  <si>
    <t>QC-015</t>
  </si>
  <si>
    <t>Evidence sufficiency</t>
  </si>
  <si>
    <t>The paper reports latency, throughput, and categorical energy for three generic platforms without identifying the model, hardware, prompts, runtime, repetitions, or measurement method.</t>
  </si>
  <si>
    <t>Use only as conceptual evidence; exclude A04 from measured-hardware, memory, and energy aggregates unless supporting artifacts are found.</t>
  </si>
  <si>
    <t>Full text pp. 277–282</t>
  </si>
  <si>
    <t>Check publisher supplements; otherwise retain NV coding</t>
  </si>
  <si>
    <t>QC-016</t>
  </si>
  <si>
    <t>The study discusses microcontroller compatibility, but profiling was performed on an Intel Celeron CPU and no MCU firmware/device execution is reported.</t>
  </si>
  <si>
    <t>Code validation level 2 and exclude CPU-proxy latency/energy proxy from physical embedded benchmarks.</t>
  </si>
  <si>
    <t>Full text pp. 18–30 and Data Availability</t>
  </si>
  <si>
    <t>Maintain pre-deployment scope</t>
  </si>
  <si>
    <t>QC-017</t>
  </si>
  <si>
    <t>STM32N6570-DK physical measurements are valid laboratory evidence, but the board was not integrated into or operated as a CubeSat.</t>
  </si>
  <si>
    <t>Code validation level 4 and avoid field/orbit or full-spacecraft energy claims.</t>
  </si>
  <si>
    <t>Full text pp. 201–206</t>
  </si>
  <si>
    <t>Use as CubeSat-class hardware proxy</t>
  </si>
  <si>
    <t>QC-018</t>
  </si>
  <si>
    <t>Hardware claim mismatch</t>
  </si>
  <si>
    <t>The paper repeatedly frames results as microcontroller-ready, but the reported quantization latency was obtained in a Lenovo host environment and no MCU board is specified.</t>
  </si>
  <si>
    <t>Exclude latency from MCU performance aggregates and revise any manuscript wording that implies physical embedded execution.</t>
  </si>
  <si>
    <t>Full text pp. 8–16 and Table 7</t>
  </si>
  <si>
    <t>Use only model-size and predictive evidence until hardware validation exists</t>
  </si>
  <si>
    <t>QC-019</t>
  </si>
  <si>
    <t>Evidence role</t>
  </si>
  <si>
    <t>A10 is a methodological arXiv preprint with no original dataset, model, hardware implementation, or benchmark.</t>
  </si>
  <si>
    <t>Use qualitatively for workflow/reporting guidance; exclude from empirical and performance denominators.</t>
  </si>
  <si>
    <t>Full preprint pp. 1–6</t>
  </si>
  <si>
    <t>Retain visible preprint and methodological labels</t>
  </si>
  <si>
    <t>QC-020</t>
  </si>
  <si>
    <t>Repository audit</t>
  </si>
  <si>
    <t>A08 provides a public code/configuration repository and detailed physical benchmarking, but repository contents, versions, licenses, and raw result files have not been independently audited.</t>
  </si>
  <si>
    <t>Code repository as available and reproducibility as Strong/Partial until artifact-level audit is completed.</t>
  </si>
  <si>
    <t>Full text pp. 4612–4620 and GitHub reference</t>
  </si>
  <si>
    <t>Audit repository during reproducibility phase</t>
  </si>
  <si>
    <t>QC-021</t>
  </si>
  <si>
    <t>Generalizability</t>
  </si>
  <si>
    <t>Perfect event-level metrics arise from one mini-fridge, one 14-day deployment, and a small set of controlled anomalies.</t>
  </si>
  <si>
    <t>Treat as a field proof-of-concept; do not generalize performance across appliances, users, or environments.</t>
  </si>
  <si>
    <t>Full text pp. 4–6; &gt;40,000 RMS logs but one appliance</t>
  </si>
  <si>
    <t>Preserve scope caveat in synthesis</t>
  </si>
  <si>
    <t>QC-022</t>
  </si>
  <si>
    <t>Evidence availability</t>
  </si>
  <si>
    <t>The full text could not be obtained, so hardware, methods, metrics, and reproducibility cannot be exhaustively extracted.</t>
  </si>
  <si>
    <t>Retain abstract-only thematic coding and exclude A26 from all full-text and quantitative denominators.</t>
  </si>
  <si>
    <t>User confirmed PDF was unobtainable; abstract retained</t>
  </si>
  <si>
    <t>No further extraction unless source becomes available</t>
  </si>
  <si>
    <t>QC-023</t>
  </si>
  <si>
    <t>Measurement provenance</t>
  </si>
  <si>
    <t>Cross-platform benchmark tables omit the exact STM32 target, complete software/build settings, power instrumentation, and uncertainty; several aggregate values are rounded.</t>
  </si>
  <si>
    <t>Use reported values with Medium confidence and avoid direct ranking against instrumented benchmarks.</t>
  </si>
  <si>
    <t>Full text pp. 6–12, Tables 2–6</t>
  </si>
  <si>
    <t>Reflect uncertainty in quantitative synthesis</t>
  </si>
  <si>
    <t>QC-024</t>
  </si>
  <si>
    <t>Physical UAV deployment is confirmed, but latency/RAM/Flash are Edge Impulse profiler outputs; the study uses two batteries and 30 real-time points, and reports undefined regression 'accuracy'.</t>
  </si>
  <si>
    <t>Separate physical predictive validation from profiler estimates and report MAE/RMSE/R² as the interpretable regression metrics.</t>
  </si>
  <si>
    <t>Full text pp. 18–25</t>
  </si>
  <si>
    <t>Preserve distinction in analysis</t>
  </si>
  <si>
    <t>QC-025</t>
  </si>
  <si>
    <t>The full text does not transparently support several abstract claims; datasets and protocols are absent, reported RAM exceeds the stated STM32 capacity, and the SLM framing conflicts with the listed architectures/tasks.</t>
  </si>
  <si>
    <t>Exclude A31 from robust empirical denominators and use only as low-confidence thematic evidence.</t>
  </si>
  <si>
    <t>Full text pp. 69–74, Tables 3–5</t>
  </si>
  <si>
    <t>Revise manuscript claims before quantitative synthesis</t>
  </si>
  <si>
    <t>QC-026</t>
  </si>
  <si>
    <t>Metric interpretation</t>
  </si>
  <si>
    <t>SpikeNAS uses parameter count as a memory proxy and estimates search energy from elapsed time and platform power; no MCU or neuromorphic deployment is evaluated.</t>
  </si>
  <si>
    <t>Report parameter-budget and search-energy outcomes explicitly; do not label them measured MCU RAM or inference energy.</t>
  </si>
  <si>
    <t>Full text pp. 8–11, Table III</t>
  </si>
  <si>
    <t>Stratify NAS/search results</t>
  </si>
  <si>
    <t>QC-027</t>
  </si>
  <si>
    <t>A33 is a brief narrative review with no systematic protocol or original experiment.</t>
  </si>
  <si>
    <t>Use as conceptual compiler/co-design background and exclude from empirical denominators.</t>
  </si>
  <si>
    <t>Full text pp. 1–8</t>
  </si>
  <si>
    <t>No performance extraction</t>
  </si>
  <si>
    <t>QC-028</t>
  </si>
  <si>
    <t>The article omits dataset/cohort, ethics, exact hardware, architecture, runtime, instruments, and repetitions, while accuracy, sensitivity, energy, and current values conflict across sections.</t>
  </si>
  <si>
    <t>Code as NV/low-confidence and exclude from robust clinical and measured-hardware denominators.</t>
  </si>
  <si>
    <t>Full text pp. 2–6, Tables 1–2</t>
  </si>
  <si>
    <t>Use only as restricted thematic evidence</t>
  </si>
  <si>
    <t>QC-029</t>
  </si>
  <si>
    <t>Validation and energy provenance</t>
  </si>
  <si>
    <t>The forecasting evidence is simulation-only; only inference timing is physically benchmarked on ESP32. ESP32 power and cloud comparison are estimated from different boundaries.</t>
  </si>
  <si>
    <t>Code as laboratory inference benchmark plus simulated predictive study; exclude energy ratio from directly measured-energy aggregates.</t>
  </si>
  <si>
    <t>Full text pp. 6–18, Table 8</t>
  </si>
  <si>
    <t>Preserve simulation/device/power distinction</t>
  </si>
  <si>
    <t>QC-030</t>
  </si>
  <si>
    <t>Reported FPGA metrics lack the FPGA part, clock, model, dataset, precision, toolchain, baselines, repetitions, and measurement method.</t>
  </si>
  <si>
    <t>Use only as low-confidence architecture evidence and exclude from robust hardware-performance denominators.</t>
  </si>
  <si>
    <t>Full text pp. 28–31, Table 1</t>
  </si>
  <si>
    <t>No quantitative synthesis</t>
  </si>
  <si>
    <t>QC-031</t>
  </si>
  <si>
    <t>The article contains deployment-oriented wording, but its discussion explicitly states that hardware evaluation relied primarily on simulation.</t>
  </si>
  <si>
    <t>Code latency, RAM, Flash, and energy as simulated/estimated; retain speaker-independent predictive metrics separately.</t>
  </si>
  <si>
    <t>Full text pp. 14–18, Tables 6–9</t>
  </si>
  <si>
    <t>Do not label as physical MCU deployment</t>
  </si>
  <si>
    <t>QC-032</t>
  </si>
  <si>
    <t>Device-metric provenance</t>
  </si>
  <si>
    <t>Jetson/Pi/mobile metrics are reported, but edge runtime, power instrumentation, and device repetition details are incomplete; mobile is simulated.</t>
  </si>
  <si>
    <t>Separate physical and simulated platforms and treat power values as reported, not metrologically verified.</t>
  </si>
  <si>
    <t>Full text pp. 7–12, Tables 1–4</t>
  </si>
  <si>
    <t>Use qualified device comparisons</t>
  </si>
  <si>
    <t>QC-033</t>
  </si>
  <si>
    <t>A39 is an extensive survey but does not provide a reproducible systematic-search and extraction protocol.</t>
  </si>
  <si>
    <t>Use for conceptual taxonomy/lifecycle discussion and exclude from empirical denominators.</t>
  </si>
  <si>
    <t>Full text pp. 1–50</t>
  </si>
  <si>
    <t>QC-034</t>
  </si>
  <si>
    <t>Metric provenance</t>
  </si>
  <si>
    <t>A40 combines STM32Cube.AI profiler/API metrics with physical execution and USB-multimeter energy measurements.</t>
  </si>
  <si>
    <t>Retain separate provenance labels for model analysis, latency, and energy; do not treat all columns as measured by one instrument.</t>
  </si>
  <si>
    <t>Full text pp. 8–10, Tables 12–13</t>
  </si>
  <si>
    <t>Stratify metric provenance</t>
  </si>
  <si>
    <t>QC-035</t>
  </si>
  <si>
    <t>No actual dataset, model, target device, protocol, or artifacts are reported, and Tables 4 and 5 contain conflicting values.</t>
  </si>
  <si>
    <t>Exclude from empirical denominators and use only as weak thematic background if retained.</t>
  </si>
  <si>
    <t>Full text pp. 7–10</t>
  </si>
  <si>
    <t>Revise manuscript numerical claims</t>
  </si>
  <si>
    <t>QC-036</t>
  </si>
  <si>
    <t>A172 reports strong hardware-measured latency speedups and memory, but no direct energy measurement and limited absolute latency reporting.</t>
  </si>
  <si>
    <t>Use for latency-aware compression and peak-memory evidence; do not infer energy savings or compare absolute latency where unavailable.</t>
  </si>
  <si>
    <t>Full text pp. 15–28, Tables 1–8</t>
  </si>
  <si>
    <t>Use relative-speedup stratum</t>
  </si>
  <si>
    <t>QC-037</t>
  </si>
  <si>
    <t>The supplied source is the MLSys 2021 proceedings paper, while the integrated bibliography and preprint flag identify the arXiv version.</t>
  </si>
  <si>
    <t>Retain the current preprint label until the bibliography is deliberately reconciled; do not silently change the reference.</t>
  </si>
  <si>
    <t>Supplied PDF title page and proceedings notice p.1</t>
  </si>
  <si>
    <t>Bibliographic reconciliation before submission</t>
  </si>
  <si>
    <t>QC-038</t>
  </si>
  <si>
    <t>Operation count predicts latency/energy only on average within a fixed model search space; individual layer latency varies and some result-table values are estimated.</t>
  </si>
  <si>
    <t>Use the proxy as a search-space-specific design result, not as a universal Edge-AI performance law.</t>
  </si>
  <si>
    <t>Full text pp. 4–5 and Appendix Table 4</t>
  </si>
  <si>
    <t>Qualify claims in synthesis</t>
  </si>
  <si>
    <t>QC-039</t>
  </si>
  <si>
    <t>Scope and provenance</t>
  </si>
  <si>
    <t>MEMA evaluates matrix-multiplication kernels rather than complete end-to-end inference; direct energy measurement is reported only for the representative Cortex-M4.</t>
  </si>
  <si>
    <t>Use as runtime/memory-traffic evidence and avoid extending energy reductions to full applications or all tested platforms.</t>
  </si>
  <si>
    <t>Full text pp. 4–7</t>
  </si>
  <si>
    <t>Stratify kernel and application evidence</t>
  </si>
  <si>
    <t>QC-040</t>
  </si>
  <si>
    <t>Validation and power claim</t>
  </si>
  <si>
    <t>FPGA functionality and timing are demonstrated, but the facial dataset contains only 36 examples and no direct power/energy measurement is reported.</t>
  </si>
  <si>
    <t>Use for processor architecture and timing feasibility; do not quantify low-power benefits or generalization.</t>
  </si>
  <si>
    <t>Full text pp. 6–10</t>
  </si>
  <si>
    <t>Restrict performance claims</t>
  </si>
  <si>
    <t>QC-041</t>
  </si>
  <si>
    <t>The paper's original validation is a 2×2 circuit simulation; several performance/energy gains discussed in the conclusion come from cited prior or parallel works.</t>
  </si>
  <si>
    <t>Attribute only the transpose-read simulation to A61 and treat the broader gains as contextual literature, not original results.</t>
  </si>
  <si>
    <t>Full text pp. 3–4</t>
  </si>
  <si>
    <t>Prevent metric misattribution</t>
  </si>
  <si>
    <t>QC-042</t>
  </si>
  <si>
    <t>Evidence transparency</t>
  </si>
  <si>
    <t>The industrial two-page paper reports large efficiency and bandwidth gains without model, workload, precision, instrumentation, or runtime details sufficient for reconstruction.</t>
  </si>
  <si>
    <t>Use as Medium-confidence historical/architectural evidence and exclude its headline metrics from robust comparative denominators.</t>
  </si>
  <si>
    <t>Full text pp. 1–2</t>
  </si>
  <si>
    <t>Use qualified industrial evidence</t>
  </si>
  <si>
    <t>QC-043</t>
  </si>
  <si>
    <t>Latency is obtained from a cycle-accurate simulator and energy is estimated from MrWolf silicon measurements rather than measured on the proposed full platform.</t>
  </si>
  <si>
    <t>Separate simulated latency, benchmark accuracy, and estimated energy; do not code as a fabricated continual-learning deployment.</t>
  </si>
  <si>
    <t>Full text pp. 4–6</t>
  </si>
  <si>
    <t>Preserve provenance in synthesis</t>
  </si>
  <si>
    <t>QC-044</t>
  </si>
  <si>
    <t>Artifact availability</t>
  </si>
  <si>
    <t>A44 reports detailed physical measurements and build settings, but data are request-only and no public code, firmware, models, or raw traces are identified.</t>
  </si>
  <si>
    <t>Use measured results with High confidence while coding open-science completeness as Partial.</t>
  </si>
  <si>
    <t>Full text pp. 13–21 and Data Availability Statement</t>
  </si>
  <si>
    <t>Preserve evidence/reproducibility distinction</t>
  </si>
  <si>
    <t>QC-045</t>
  </si>
  <si>
    <t>Measurement boundary and generalizability</t>
  </si>
  <si>
    <t>Energy is whole-device Raspberry Pi consumption and is strongly affected by response length, thermal/background state, and the chosen weight-only Ollama/llama.cpp formats.</t>
  </si>
  <si>
    <t>Stratify by task/model/quantization; do not compare directly with MCU energy per inference or generalize to QAT/activation quantization.</t>
  </si>
  <si>
    <t>Full text pp. 7–29 and validity threats</t>
  </si>
  <si>
    <t>Use Edge-GenAI-specific stratum</t>
  </si>
  <si>
    <t>QC-046</t>
  </si>
  <si>
    <t>Energy claim</t>
  </si>
  <si>
    <t>A53 physically measures model size and latency but does not directly measure energy, despite discussing expected energy benefits.</t>
  </si>
  <si>
    <t>Use only size, latency, and predictive metrics as measured outcomes; classify energy benefit as inferred.</t>
  </si>
  <si>
    <t>Full text pp. 4–5</t>
  </si>
  <si>
    <t>No energy aggregate</t>
  </si>
  <si>
    <t>QC-047</t>
  </si>
  <si>
    <t>Flash/energy trade-off</t>
  </si>
  <si>
    <t>The custom unpacked kernels substantially increase Flash, and the energy table lacks a documented instrument or repetition protocol.</t>
  </si>
  <si>
    <t>Present latency/accuracy/Flash jointly and treat energy as reported but not metrologically verified.</t>
  </si>
  <si>
    <t>Full text pp. 2–4 and Table II</t>
  </si>
  <si>
    <t>Qualified physical benchmark</t>
  </si>
  <si>
    <t>QC-048</t>
  </si>
  <si>
    <t>Hardware provenance</t>
  </si>
  <si>
    <t>The evaluation names Arm Corstone-300/Cortex-M55 and 120 MHz but does not clearly state whether results come from a physical board, FPGA prototype, FVP, or simulation.</t>
  </si>
  <si>
    <t>Code validation as controlled target benchmark with unresolved physical provenance; exclude from confirmed physical-device counts.</t>
  </si>
  <si>
    <t>Full text pp. 1–8 and Figure 11</t>
  </si>
  <si>
    <t>Resolve only if authors/artifacts clarify</t>
  </si>
  <si>
    <t>QC-049</t>
  </si>
  <si>
    <t>Energy omission</t>
  </si>
  <si>
    <t>DTMM reports model size, latency, and runtime memory, but no direct energy measurement.</t>
  </si>
  <si>
    <t>Do not infer energy savings from pruning/latency reductions in quantitative energy results.</t>
  </si>
  <si>
    <t>Full text evaluation and conclusion</t>
  </si>
  <si>
    <t>QC-050</t>
  </si>
  <si>
    <t>Hybrid evidence provenance</t>
  </si>
  <si>
    <t>A91 calibrates its reliability model from measured flash distributions, but CNN degradation and LDPC time/energy comparisons are simulated or literature-parameterized.</t>
  </si>
  <si>
    <t>Separate measured flash characterization from simulated accuracy and modeled storage overhead; do not code as a fabricated EASE deployment.</t>
  </si>
  <si>
    <t>Full text pp. 15–22</t>
  </si>
  <si>
    <t>Preserve hybrid provenance</t>
  </si>
  <si>
    <t>QC-051</t>
  </si>
  <si>
    <t>Overhead exclusions</t>
  </si>
  <si>
    <t>The EASE-versus-LDPC overhead model excludes weight assembly/disassembly and assumes an LDPC energy share derived from prior work.</t>
  </si>
  <si>
    <t>Use the overhead result qualitatively or as modeled evidence only, with explicit exclusions.</t>
  </si>
  <si>
    <t>Full text pp. 21–22</t>
  </si>
  <si>
    <t>Avoid absolute energy comparison</t>
  </si>
  <si>
    <t>QC-052</t>
  </si>
  <si>
    <t>Generalizability and adaptation boundary</t>
  </si>
  <si>
    <t>Robustness is demonstrated on a controlled mini-track with a one-dimensional camera and a computer-vision teacher; model adaptation is retrained offline on a host.</t>
  </si>
  <si>
    <t>Use as strong physical deployment evidence while restricting claims to target-environment adaptation, not autonomous generalization or on-device continual learning.</t>
  </si>
  <si>
    <t>Full text pp. 2–14</t>
  </si>
  <si>
    <t>Preserve deployment-scope caveat</t>
  </si>
  <si>
    <t>QC-053</t>
  </si>
  <si>
    <t>Open-science statement</t>
  </si>
  <si>
    <t>The paper links a public dataset/model repository, while its formal Data Availability Statement says data sharing is not applicable.</t>
  </si>
  <si>
    <t>Record the repository as available but note the inconsistency and audit its contents before the final reproducibility score.</t>
  </si>
  <si>
    <t>Repository statement p. 6; Data Availability p. 14</t>
  </si>
  <si>
    <t>QC-054</t>
  </si>
  <si>
    <t>A51 reports extensive simulation, runtime, memory, and transmission calculations but no physical edge device, radio, or server testbed; runtime hardware is unspecified.</t>
  </si>
  <si>
    <t>Classify all deployment results as simulated/software evidence and exclude from physical-device denominators.</t>
  </si>
  <si>
    <t>Full text experiments pp. 4269–4274</t>
  </si>
  <si>
    <t>No physical-deployment count</t>
  </si>
  <si>
    <t>QC-055</t>
  </si>
  <si>
    <t>Cost and hardware scope</t>
  </si>
  <si>
    <t>Hierarchical inference uses an abstract cost β that may represent energy, delay, or monetary cost, while the implementation uses a Raspberry Pi rather than an MCU and does not measure energy.</t>
  </si>
  <si>
    <t>Use measured local/offload timing and image counts, but treat β-based cost/energy conclusions as analytical and application-specific.</t>
  </si>
  <si>
    <t>Full text pp. 3–6</t>
  </si>
  <si>
    <t>Separate analytical cost and measured latency</t>
  </si>
  <si>
    <t>QC-056</t>
  </si>
  <si>
    <t>Hardware-description inconsistency</t>
  </si>
  <si>
    <t>The experimental edge is described as Cortex-M0 in one section and Cortex-M4 at about 30 MHz in the communication analysis; the FPGA part and complete model/runtime configuration are absent.</t>
  </si>
  <si>
    <t>Code as restricted physical/prototype evidence and avoid precise MCU-class or reproducible-hardware claims.</t>
  </si>
  <si>
    <t>Full text pp. 120780–120783</t>
  </si>
  <si>
    <t>Restrict quantitative synthesis</t>
  </si>
  <si>
    <t>QC-057</t>
  </si>
  <si>
    <t>Claims of 70% communication reduction, 49% training-time reduction, and accuracy recovery have incomplete boundaries, repetitions, and artifact support.</t>
  </si>
  <si>
    <t>Use as reported headline evidence only, not as a directly comparable benchmark.</t>
  </si>
  <si>
    <t>Abstract and evaluation pp. 120781–120783</t>
  </si>
  <si>
    <t>No pooled metric comparison</t>
  </si>
  <si>
    <t>QC-058</t>
  </si>
  <si>
    <t>Scope exclusions</t>
  </si>
  <si>
    <t>DistrEdge deliberately excludes memory constraints and does not evaluate energy or predictive accuracy; models and split parts are preloaded before 5000-image streaming.</t>
  </si>
  <si>
    <t>Use only for distributed-inference throughput/latency and adaptation-time evidence; do not generalize to MCU memory or end-to-end deployment energy.</t>
  </si>
  <si>
    <t>Full text pp. 1102–1106</t>
  </si>
  <si>
    <t>Distributed-runtime stratum</t>
  </si>
  <si>
    <t>QC-059</t>
  </si>
  <si>
    <t>A163 simulates resource orchestration but does not specify or deploy concrete lightweight models, edge hardware, predictive metrics, or energy measurements.</t>
  </si>
  <si>
    <t>Use for orchestration/resource-allocation patterns only and exclude from embedded-model performance denominators.</t>
  </si>
  <si>
    <t>Full text pp. 2–7</t>
  </si>
  <si>
    <t>No model-performance aggregation</t>
  </si>
  <si>
    <t>QC-060</t>
  </si>
  <si>
    <t>Data and security limitations</t>
  </si>
  <si>
    <t>Historical data are request-only, while code and topology inputs are not released; the authors explicitly leave security and confidentiality unaddressed.</t>
  </si>
  <si>
    <t>Code reproducibility as Weak/Partial and retain security/confidentiality as an identified limitation.</t>
  </si>
  <si>
    <t>Data statement and conclusion pp. 6–7</t>
  </si>
  <si>
    <t>Open-science/security discussion</t>
  </si>
  <si>
    <t>QC-061</t>
  </si>
  <si>
    <t>Evidence role and review quality</t>
  </si>
  <si>
    <t>A42 is a PRISMA-aligned systematic review with an OSF protocol, but it performs no formal risk-of-bias or certainty assessment and no original benchmark.</t>
  </si>
  <si>
    <t>Use for methodology, taxonomy, and the five-stage deployment framework; exclude from empirical performance denominators.</t>
  </si>
  <si>
    <t>Full text pp. 2–4 and 25–36</t>
  </si>
  <si>
    <t>Non-empirical review stratum</t>
  </si>
  <si>
    <t>QC-062</t>
  </si>
  <si>
    <t>Illustrative case-study boundary</t>
  </si>
  <si>
    <t>The five-stage case study operationalizes the proposed workflow but must not be interpreted as independently validated hardware evidence unless its source measurements are explicitly traceable.</t>
  </si>
  <si>
    <t>Cite the framework conceptually and avoid treating illustrative case-study values as new experimental results.</t>
  </si>
  <si>
    <t>Full text Section 6</t>
  </si>
  <si>
    <t>Prevent evidence inflation</t>
  </si>
  <si>
    <t>QC-063</t>
  </si>
  <si>
    <t>Review-data availability</t>
  </si>
  <si>
    <t>A47 reports a reproducible-looking PRISMA process and 35 included studies, but no public extraction matrix, screening decisions, or registered protocol is identified.</t>
  </si>
  <si>
    <t>Code review transparency as Partial/Strong, not fully reproducible open science.</t>
  </si>
  <si>
    <t>Full text pp. 9–13 and Data Availability</t>
  </si>
  <si>
    <t>Review reproducibility score</t>
  </si>
  <si>
    <t>QC-064</t>
  </si>
  <si>
    <t>Review-method limitation</t>
  </si>
  <si>
    <t>A94 uses Google keyword searches and manual relevance selection without exact queries, dates, formal screening records, or study-quality assessment.</t>
  </si>
  <si>
    <t>Use as a narrative Edge-GenAI landscape source, not as systematic-review evidence or a basis for quantitative prevalence estimates.</t>
  </si>
  <si>
    <t>Full text pp. 2–4</t>
  </si>
  <si>
    <t>Narrative-review stratum</t>
  </si>
  <si>
    <t>QC-065</t>
  </si>
  <si>
    <t>Benchmark scope and missing numerics</t>
  </si>
  <si>
    <t>A96 compares SoC devices only; Jetson GPU is not used, HummingBoard cannot run the workloads, and inference results are mainly graphical without reusable uncertainty statistics.</t>
  </si>
  <si>
    <t>Use qualitative rankings and reported power ranges; avoid precise cross-device latency aggregation where values are not tabulated.</t>
  </si>
  <si>
    <t>Full text pp. 8–19</t>
  </si>
  <si>
    <t>Qualified benchmark synthesis</t>
  </si>
  <si>
    <t>QC-066</t>
  </si>
  <si>
    <t>TPU energy interpretation</t>
  </si>
  <si>
    <t>The study concludes that TPU use does not materially change device power, but it does not measure accelerator utilization and reports power rather than normalized energy per inference.</t>
  </si>
  <si>
    <t>Distinguish similar instantaneous power from total energy-to-result; do not infer identical energy per completed classification workload.</t>
  </si>
  <si>
    <t>Full text pp. 10–18 and Table 5</t>
  </si>
  <si>
    <t>Power/energy distinction</t>
  </si>
  <si>
    <t>QC-067</t>
  </si>
  <si>
    <t>Reproducibility versus artifact release</t>
  </si>
  <si>
    <t>A103 labels the benchmark reproducible and documents the workflow well, but data are request-only and code, RKNN binaries, calibration indices, scripts, and raw traces are not public.</t>
  </si>
  <si>
    <t>Code methodological reproducibility as Strong/Partial while retaining open-science availability as incomplete.</t>
  </si>
  <si>
    <t>Full text pp. 4–11 and Data Availability</t>
  </si>
  <si>
    <t>Separate protocol and artifacts</t>
  </si>
  <si>
    <t>QC-068</t>
  </si>
  <si>
    <t>Accuracy and quantization boundary</t>
  </si>
  <si>
    <t>The benchmark uses published COCO mAP in model tables and does not provide a complete post-conversion accuracy table for every SoC/resolution/model combination.</t>
  </si>
  <si>
    <t>Use latency/energy/robustness as measured outcomes and qualify accuracy–latency associations as based on published/model-level mAP plus selected quantization validation.</t>
  </si>
  <si>
    <t>Full text pp. 3–10</t>
  </si>
  <si>
    <t>No universal post-quantization accuracy aggregation</t>
  </si>
  <si>
    <t>QC-069</t>
  </si>
  <si>
    <t>Power-measurement boundary</t>
  </si>
  <si>
    <t>Power is measured with an external USB meter under continuous inference and energy is computed as power multiplied by measured latency.</t>
  </si>
  <si>
    <t>Treat energy-per-frame as directly derived system-level evidence, but do not compare it naively with accelerator-only or MCU kernel-energy measurements.</t>
  </si>
  <si>
    <t>Full text pp. 8–10, Table 5</t>
  </si>
  <si>
    <t>System-boundary stratification</t>
  </si>
  <si>
    <t>Pilot extraction dashboard</t>
  </si>
  <si>
    <t>KPI</t>
  </si>
  <si>
    <t>Value</t>
  </si>
  <si>
    <t>Interpretation</t>
  </si>
  <si>
    <t>Total</t>
  </si>
  <si>
    <t>Total references</t>
  </si>
  <si>
    <t>Frozen corpus</t>
  </si>
  <si>
    <t>Core pilot</t>
  </si>
  <si>
    <t>Five exhaustive full-text extractions completed</t>
  </si>
  <si>
    <t>Core references</t>
  </si>
  <si>
    <t>Exhaustive extraction</t>
  </si>
  <si>
    <t>Complementary pilot</t>
  </si>
  <si>
    <t>Three directed full-text extractions completed</t>
  </si>
  <si>
    <t>Complementary references</t>
  </si>
  <si>
    <t>Directed extraction</t>
  </si>
  <si>
    <t>Preprints</t>
  </si>
  <si>
    <t>A10, A21, A22</t>
  </si>
  <si>
    <t>Open QC issues</t>
  </si>
  <si>
    <t>Nine items require follow-up after Batch 2</t>
  </si>
  <si>
    <t>Pilot full texts</t>
  </si>
  <si>
    <t>Eight supplied PDFs reviewed</t>
  </si>
  <si>
    <t>Pilot set</t>
  </si>
  <si>
    <t>Primary test dimension</t>
  </si>
  <si>
    <t>Key output</t>
  </si>
  <si>
    <t>Main unresolved item</t>
  </si>
  <si>
    <t>Ready to scale?</t>
  </si>
  <si>
    <t>MCU + TFLM + INT8</t>
  </si>
  <si>
    <t>4 — Controlled laboratory</t>
  </si>
  <si>
    <t>&lt;5 ms; ~15 KB RAM; ~38 KB Flash; stable 100 Hz</t>
  </si>
  <si>
    <t>Canonical author list differs from integrated reference</t>
  </si>
  <si>
    <t>Yes — schema validated</t>
  </si>
  <si>
    <t>CNN + Edge Impulse + live MCU demo</t>
  </si>
  <si>
    <t>3 — Physical device</t>
  </si>
  <si>
    <t>94.84%; 7,648 ms Table VII; 726.6 KB RAM; 344.7 KB Flash</t>
  </si>
  <si>
    <t>Latency/RAM inconsistencies and profiler-derived metrics</t>
  </si>
  <si>
    <t>Yes — ambiguity rule validated</t>
  </si>
  <si>
    <t>FPGA + arbitrary precision</t>
  </si>
  <si>
    <t>246 MHz; 2.05 W; ~0.5 TOPS/W; 0 DSPs</t>
  </si>
  <si>
    <t>Proprietary data and no public code generator</t>
  </si>
  <si>
    <t>Energy measurement protocol</t>
  </si>
  <si>
    <t>Absolute energy/latency for 3 devices × 4 workloads; uncertainty ×6/×12 lower</t>
  </si>
  <si>
    <t>Raw traces and modified firmware not public</t>
  </si>
  <si>
    <t>Online learning on MCU</t>
  </si>
  <si>
    <t>Inference 1,748 µs; update 1,921 µs average</t>
  </si>
  <si>
    <t>RAM/Flash and energy overhead NR; no public artifacts</t>
  </si>
  <si>
    <t>Compute-in-memory SoC</t>
  </si>
  <si>
    <t>7.48 TOPS/W; 92.8%; &lt;200 ms; ≥4× latency reduction</t>
  </si>
  <si>
    <t>Single workload and no public toolchain artifacts</t>
  </si>
  <si>
    <t>Yes — directed schema validated</t>
  </si>
  <si>
    <t>Benchmark + open science</t>
  </si>
  <si>
    <t>Five platforms/eight workloads; public C/C++ repository</t>
  </si>
  <si>
    <t>Repository contents/version pinning still need audit</t>
  </si>
  <si>
    <t>Field platform, no deployed TinyML</t>
  </si>
  <si>
    <t>5 — Field (platform only)</t>
  </si>
  <si>
    <t>4,306 RSSI samples and sensor/reference agreement</t>
  </si>
  <si>
    <t>Must not be counted as embedded-ML validation</t>
  </si>
  <si>
    <t>Yes — scope boundary validated</t>
  </si>
  <si>
    <t>Batch 2 full-text extraction dashboard — A02–A08 and A10</t>
  </si>
  <si>
    <t>Batch 2 core papers</t>
  </si>
  <si>
    <t>Eight exhaustive full-text extractions completed</t>
  </si>
  <si>
    <t>Current unresolved/ongoing quality-control items</t>
  </si>
  <si>
    <t>Core full texts complete</t>
  </si>
  <si>
    <t>Five pilot + eight Batch 2 core studies</t>
  </si>
  <si>
    <t>Physical-device/lab studies</t>
  </si>
  <si>
    <t>A02, A03, A06, and A08</t>
  </si>
  <si>
    <t>Core studies remaining</t>
  </si>
  <si>
    <t>29 total minus 13 completed</t>
  </si>
  <si>
    <t>Public repository/artifact evidence</t>
  </si>
  <si>
    <t>A05, A07, and A08</t>
  </si>
  <si>
    <t>Batch 2 study-level summary</t>
  </si>
  <si>
    <t>Physical hardware</t>
  </si>
  <si>
    <t>Key extracted output</t>
  </si>
  <si>
    <t>Evidence/reproducibility</t>
  </si>
  <si>
    <t>Main caveat</t>
  </si>
  <si>
    <t>94.38% accuracy; INT8 1 ms; EON 1.4 KB RAM / 14.8 KB Flash</t>
  </si>
  <si>
    <t>Partial; raw data on request</t>
  </si>
  <si>
    <t>Five subjects; same-subject split; resource values profiler-derived</t>
  </si>
  <si>
    <t>D2I +16.3% TFLM / +14.5% NNOM; 11.52 KB table</t>
  </si>
  <si>
    <t>Partial; toolchain/protocol detailed</t>
  </si>
  <si>
    <t>Workload-dependent; no energy or public implementation</t>
  </si>
  <si>
    <t>NV — Claimed benchmark</t>
  </si>
  <si>
    <t>25 ms and 75 tokens/s claimed for generic accelerator</t>
  </si>
  <si>
    <t>Model, hardware, protocol, memory, and quantitative energy unspecified</t>
  </si>
  <si>
    <t>2 — Hardware-targeted / CPU proxy</t>
  </si>
  <si>
    <t>98.60% PTQ INT8; 883 KB; CPU proxy 26.0 ms</t>
  </si>
  <si>
    <t>Strong software artifacts; Zenodo/GitHub</t>
  </si>
  <si>
    <t>No physical MCU; energy is proxy only; split not signer-disjoint</t>
  </si>
  <si>
    <t>3.2–30.4 ms; 0.68–6.45 mJ; large RAM/Flash reductions</t>
  </si>
  <si>
    <t>Development-board CubeSat proxy, not field/orbit deployment</t>
  </si>
  <si>
    <t>2 — Host/TFLite evaluation</t>
  </si>
  <si>
    <t>99.94% held-out accuracy; 104 KB; 0.14 ms host timing</t>
  </si>
  <si>
    <t>Partial; GitHub stated</t>
  </si>
  <si>
    <t>No MCU execution; latency context conflicts with embedded claims</t>
  </si>
  <si>
    <t>Four MCUs; 217–803 µs minima; ~95% Pareto points on STM32H753ZI</t>
  </si>
  <si>
    <t>Strong/Partial; GitHub + reproducible DeepMIMO</t>
  </si>
  <si>
    <t>No physical RIS/radio integration and no energy measurement</t>
  </si>
  <si>
    <t>End-to-end data–deployment–monitoring framework</t>
  </si>
  <si>
    <t>Not applicable as empirical study</t>
  </si>
  <si>
    <t>Preprint with no original dataset, model, hardware, or metrics</t>
  </si>
  <si>
    <t>Batch 3 full-text extraction dashboard — A25, A28–A34; A26 abstract-only</t>
  </si>
  <si>
    <t>Batch 3 full texts completed</t>
  </si>
  <si>
    <t>A25, A28, A29, A31, A32, A33, and A34</t>
  </si>
  <si>
    <t>Full-text core complete</t>
  </si>
  <si>
    <t>13 previous + 7 Batch 3</t>
  </si>
  <si>
    <t>A26 full-text status</t>
  </si>
  <si>
    <t>Unavailable; abstract-only thematic extraction retained</t>
  </si>
  <si>
    <t>Core papers remaining</t>
  </si>
  <si>
    <t>A35–A41 and A172</t>
  </si>
  <si>
    <t>Physical/lab/field evidence</t>
  </si>
  <si>
    <t>A25, A28, A29, and A32</t>
  </si>
  <si>
    <t>Restricted/non-empirical records</t>
  </si>
  <si>
    <t>A26 abstract-only; A31/A34 low-confidence; A33 review</t>
  </si>
  <si>
    <t>Batch 3 study-level summary</t>
  </si>
  <si>
    <t>Precision/Recall/F1 = 1.00; 20–40 µs; ~3.3 KB SRAM / 63 KB Flash</t>
  </si>
  <si>
    <t>Partial; no public artifacts</t>
  </si>
  <si>
    <t>One appliance and controlled anomalies; no energy</t>
  </si>
  <si>
    <t>NV — Abstract only</t>
  </si>
  <si>
    <t>NPU/QNN optimization themes; no exact metrics verified</t>
  </si>
  <si>
    <t>Not assessable</t>
  </si>
  <si>
    <t>Full text unavailable; excluded from denominators</t>
  </si>
  <si>
    <t>4 — Controlled benchmark</t>
  </si>
  <si>
    <t>Reported yes</t>
  </si>
  <si>
    <t>TinyML CNN 5–30 ms across TPU/GPU/CPU; 10–12 ms MCU; combined 1.2 W</t>
  </si>
  <si>
    <t>Exact STM32 and power instrumentation NR</t>
  </si>
  <si>
    <t>5 — Operational demonstration</t>
  </si>
  <si>
    <t>Real-time MAE 3.46 cycles, RMSE 3.75, R² 0.9977; profiler INT8 2 ms</t>
  </si>
  <si>
    <t>Two batteries/30 points; profiler-derived resources</t>
  </si>
  <si>
    <t>NV — Insufficient benchmark</t>
  </si>
  <si>
    <t>Claimed</t>
  </si>
  <si>
    <t>Tables report 82.3–89.5% and 19–31 ms; hardware-memory conflict</t>
  </si>
  <si>
    <t>Datasets/protocols absent; abstract claims unsupported</t>
  </si>
  <si>
    <t>Yes — GPU/Jetson</t>
  </si>
  <si>
    <t>92.02/68.41/72.00%; 29×/117×/3.7× search speedups</t>
  </si>
  <si>
    <t>Parameter memory proxy; estimated search energy; no MCU</t>
  </si>
  <si>
    <t>0 — Narrative review</t>
  </si>
  <si>
    <t>Compiler/co-design taxonomy and representative techniques</t>
  </si>
  <si>
    <t>NA as empirical study</t>
  </si>
  <si>
    <t>No systematic review protocol or original validation</t>
  </si>
  <si>
    <t>NV — Insufficient claimed study</t>
  </si>
  <si>
    <t>93.9–94.1%; 14–&lt;15 ms; 18 KB RAM / 52 KB Flash claimed</t>
  </si>
  <si>
    <t>Dataset/device/ethics absent; metrics conflict</t>
  </si>
  <si>
    <t>Batch 4 dashboard — final core studies A35–A41 and A172</t>
  </si>
  <si>
    <t>Batch 4 full texts completed</t>
  </si>
  <si>
    <t>A35, A36, A37, A38, A39, A40, A41, A172</t>
  </si>
  <si>
    <t>All accessible core papers reviewed</t>
  </si>
  <si>
    <t>A26 abstract-only</t>
  </si>
  <si>
    <t>Full text unobtainable; excluded from full-text denominators</t>
  </si>
  <si>
    <t>Core corpus status</t>
  </si>
  <si>
    <t>28 full text + 1 abstract-only</t>
  </si>
  <si>
    <t>Physical/lab evidence</t>
  </si>
  <si>
    <t>A35, A38, A40, A172</t>
  </si>
  <si>
    <t>Restricted/non-empirical</t>
  </si>
  <si>
    <t>A36/A41 restricted; A39 survey; A37 simulated hardware</t>
  </si>
  <si>
    <t>Batch 4 study-level summary</t>
  </si>
  <si>
    <t>4 — Lab inference + simulation</t>
  </si>
  <si>
    <t>ESP32 timing only</t>
  </si>
  <si>
    <t>R² 0.9884 TFLite; 76 KB; 43 KB RAM; 2.1±0.08 ms</t>
  </si>
  <si>
    <t>Partial; artifacts on request</t>
  </si>
  <si>
    <t>No real traffic field validation; power estimated</t>
  </si>
  <si>
    <t>NV — Insufficient FPGA benchmark</t>
  </si>
  <si>
    <t>420 mW; 12.6 ms; 58.3 GOPS reported</t>
  </si>
  <si>
    <t>FPGA/model/toolchain/setup absent</t>
  </si>
  <si>
    <t>VGG 89.81%; simulated MobileNet 0.88 ms/14.4 µJ</t>
  </si>
  <si>
    <t>Strong/Partial; Zenodo DOI</t>
  </si>
  <si>
    <t>No physical MCU measurement</t>
  </si>
  <si>
    <t>4 — Controlled device benchmark</t>
  </si>
  <si>
    <t>Reported Jetson/Pi</t>
  </si>
  <si>
    <t>82.00±0.23%; 18.3 ms Jetson; 42.7 ms Pi; ~300 MB</t>
  </si>
  <si>
    <t>Power/runtime method incomplete; mobile simulated</t>
  </si>
  <si>
    <t>0 — Survey</t>
  </si>
  <si>
    <t>Lifecycle/toolchain taxonomy and research agenda</t>
  </si>
  <si>
    <t>Limited review protocol</t>
  </si>
  <si>
    <t>No original experiment or systematic-search protocol</t>
  </si>
  <si>
    <t>4 — Multi-MCU laboratory</t>
  </si>
  <si>
    <t>Yes — five boards</t>
  </si>
  <si>
    <t>Physical latency/energy across four datasets and five MCUs</t>
  </si>
  <si>
    <t>Strong/Partial; open GitHub</t>
  </si>
  <si>
    <t>Mixed profiler and measured metric provenance</t>
  </si>
  <si>
    <t>NV — Unsupported project claims</t>
  </si>
  <si>
    <t>Conflicting 21.8–22 ms and memory/model-size tables</t>
  </si>
  <si>
    <t>No dataset/model/device/protocol</t>
  </si>
  <si>
    <t>4 — Physical edge benchmark</t>
  </si>
  <si>
    <t>4.2× latency speedup; 270–273 MB; ~21.7M parameters</t>
  </si>
  <si>
    <t>No energy measurement; mostly relative latency</t>
  </si>
  <si>
    <t>Complementary Batch 1 — architectures, memory, and continual-learning trade-offs</t>
  </si>
  <si>
    <t>Full texts completed</t>
  </si>
  <si>
    <t>A21, A22, A50, A61, A98, A173</t>
  </si>
  <si>
    <t>Complementary complete</t>
  </si>
  <si>
    <t>3 pilot + 6 current batch</t>
  </si>
  <si>
    <t>Complementary remaining</t>
  </si>
  <si>
    <t>Next batches: optimization, distributed deployment, surveys/benchmarking</t>
  </si>
  <si>
    <t>Preprints retained</t>
  </si>
  <si>
    <t>A21 and A22; A21 source-version discrepancy logged</t>
  </si>
  <si>
    <t>Confirmed physical prototypes</t>
  </si>
  <si>
    <t>A21 multi-MCU, A22 multi-platform, A50 FPGA</t>
  </si>
  <si>
    <t>Simulation/limited industrial evidence</t>
  </si>
  <si>
    <t>A61 circuit simulation, A98 industrial claims, A173 cycle-accurate simulation</t>
  </si>
  <si>
    <t>Study-level directed extraction</t>
  </si>
  <si>
    <t>Key contribution / metric</t>
  </si>
  <si>
    <t>4 — Physical multi-MCU</t>
  </si>
  <si>
    <t>Three STM32 MCUs</t>
  </si>
  <si>
    <t>DNAS + TFLM; KWS 95.3–96.5%; measured latency/energy</t>
  </si>
  <si>
    <t>Strong/Partial; public ML-zoo</t>
  </si>
  <si>
    <t>Proxy is search-space-specific; source-version mismatch</t>
  </si>
  <si>
    <t>4 — Physical kernel benchmark</t>
  </si>
  <si>
    <t>Cortex-M4/M7/A72</t>
  </si>
  <si>
    <t>Up to 1.8× speedup and 44% lower M4 energy vs CMSIS-NN</t>
  </si>
  <si>
    <t>Strong/Partial; public MEMA-MM</t>
  </si>
  <si>
    <t>Matrix kernels, not full inference; preprint</t>
  </si>
  <si>
    <t>4 — FPGA prototype</t>
  </si>
  <si>
    <t>Cyclone-IV and MAX10</t>
  </si>
  <si>
    <t>90.19% facial-expression demo; ~1 ms at 50 MHz</t>
  </si>
  <si>
    <t>36-sample dataset; no direct power measurement</t>
  </si>
  <si>
    <t>1 — Circuit simulation</t>
  </si>
  <si>
    <t>TIGFET/RRAM + BLADE concept</t>
  </si>
  <si>
    <t>Validates regular and transpose reads in 2×2 subarray</t>
  </si>
  <si>
    <t>No fabricated macro or original full-system metrics</t>
  </si>
  <si>
    <t>Industrial implementation claim</t>
  </si>
  <si>
    <t>MediaTek P90 SoC</t>
  </si>
  <si>
    <t>55× APU efficiency; 90% DRAM reduction; ETHZ score 25,654</t>
  </si>
  <si>
    <t>Two-page paper with limited methods</t>
  </si>
  <si>
    <t>3 — Cycle-accurate simulation</t>
  </si>
  <si>
    <t>8-core RISC-V/PULP architecture</t>
  </si>
  <si>
    <t>72.2–72.5% at ~98 min; 58% at 867 ms; memory trade-offs</t>
  </si>
  <si>
    <t>Energy estimated; large external-memory requirement</t>
  </si>
  <si>
    <t>Complementary Batch 2 — optimization, compression, kernels, and storage reliability</t>
  </si>
  <si>
    <t>A44, A52, A53, A54, A55, A91</t>
  </si>
  <si>
    <t>3 pilot + 6 Batch 1 + 6 Batch 2</t>
  </si>
  <si>
    <t>Distributed/hybrid deployment and surveys/benchmarking</t>
  </si>
  <si>
    <t>Public artifact evidence</t>
  </si>
  <si>
    <t>A52 repository cited; A53 and A54 public GitHub</t>
  </si>
  <si>
    <t>Confirmed physical benchmarks</t>
  </si>
  <si>
    <t>A44, A52, A53, A54</t>
  </si>
  <si>
    <t>Modeled/ambiguous evidence</t>
  </si>
  <si>
    <t>A55 hardware provenance unresolved; A91 hybrid measurement/simulation</t>
  </si>
  <si>
    <t>4 — Physical MCU benchmark</t>
  </si>
  <si>
    <t>STM32H743ZI</t>
  </si>
  <si>
    <t>387±9 µJ; 38±1.1 ms; 198 kB Flash; 174 kB SRAM</t>
  </si>
  <si>
    <t>One high-end MCU; artifacts request-only/absent</t>
  </si>
  <si>
    <t>Raspberry Pi 4/5</t>
  </si>
  <si>
    <t>Qwen-0.5B 2.61 J/token; Q8 saves 52–54%; up to 69% latency reduction</t>
  </si>
  <si>
    <t>Whole-device energy; one primary platform; PTQ weight-only</t>
  </si>
  <si>
    <t>Cortex-M0 Pico4ML</t>
  </si>
  <si>
    <t>VWW 336→71 kB and 904→551 ms; accuracy 80→81%</t>
  </si>
  <si>
    <t>Strong/Partial; public code</t>
  </si>
  <si>
    <t>Two tasks; no measured energy</t>
  </si>
  <si>
    <t>STM32U575</t>
  </si>
  <si>
    <t>21% average latency reduction at zero accuracy loss</t>
  </si>
  <si>
    <t>Strong/Partial; public toolkit</t>
  </si>
  <si>
    <t>Higher Flash; energy protocol NR</t>
  </si>
  <si>
    <t>3/NV — Target benchmark</t>
  </si>
  <si>
    <t>Cortex-M55/Corstone-300</t>
  </si>
  <si>
    <t>Up to 42.8% size and 27.7% latency reduction vs CHIP</t>
  </si>
  <si>
    <t>Physical provenance ambiguous; no energy</t>
  </si>
  <si>
    <t>Hybrid measured + simulated</t>
  </si>
  <si>
    <t>TLC flash + CNN models</t>
  </si>
  <si>
    <t>≤1% loss after one year at 100 P/E; LDPC overhead modeled</t>
  </si>
  <si>
    <t>No fabricated EASE device; modeled energy/latency</t>
  </si>
  <si>
    <t>Complementary Batch 3 — robust, hierarchical, adaptive, and distributed deployment</t>
  </si>
  <si>
    <t>A49, A51, A80, A99, A162, A163</t>
  </si>
  <si>
    <t>3 pilot + 18 scaled extractions</t>
  </si>
  <si>
    <t>A42, A47, A94, A96, A103</t>
  </si>
  <si>
    <t>A49 and A51 public GitHub repositories</t>
  </si>
  <si>
    <t>Confirmed physical testbeds</t>
  </si>
  <si>
    <t>A49, A80, A162</t>
  </si>
  <si>
    <t>Simulation/restricted evidence</t>
  </si>
  <si>
    <t>A51 simulation; A99 restricted prototype; A163 orchestration simulation</t>
  </si>
  <si>
    <t>5 — Physical mini-vehicle</t>
  </si>
  <si>
    <t>GAP8/NXP/STM32</t>
  </si>
  <si>
    <t>97.4%, 0.91 ms, 18.9 µJ; predictor 96.2%, 0.37 ms, 7.6 µJ</t>
  </si>
  <si>
    <t>Strong/Partial; public GitHub</t>
  </si>
  <si>
    <t>Controlled track; offline retraining</t>
  </si>
  <si>
    <t>2 — Simulation/software</t>
  </si>
  <si>
    <t>No physical platform</t>
  </si>
  <si>
    <t>Alignment &lt;1 ms for LS/MMSE; 1 kB; &gt;10-point gain over fine-tuning</t>
  </si>
  <si>
    <t>No physical communication/device validation</t>
  </si>
  <si>
    <t>4 — Pi/server network test</t>
  </si>
  <si>
    <t>Raspberry Pi 4B + T4 server</t>
  </si>
  <si>
    <t>83.52% at 35.5% offload; 0.99 ms local vs 74.34 ms offload</t>
  </si>
  <si>
    <t>Abstract cost β; no measured energy; not MCU</t>
  </si>
  <si>
    <t>4/NV — Restricted prototype</t>
  </si>
  <si>
    <t>FPGA/STM32/cloud/Jetson</t>
  </si>
  <si>
    <t>14 ms vs 27 ms; ResNet-18 41.31→83.90% on biased data</t>
  </si>
  <si>
    <t>Core inconsistency and incomplete protocols</t>
  </si>
  <si>
    <t>4 — Physical distributed testbed</t>
  </si>
  <si>
    <t>Pi3 + Jetson Nano/TX2/Xavier</t>
  </si>
  <si>
    <t>1.1–3× speedup; 40–65% of AOFL latency</t>
  </si>
  <si>
    <t>No memory, energy, or accuracy evaluation</t>
  </si>
  <si>
    <t>2 — Orchestration simulation</t>
  </si>
  <si>
    <t>17-node simulated LVDN</t>
  </si>
  <si>
    <t>26.4% utilization gain; 0.43 s average response reduction</t>
  </si>
  <si>
    <t>No concrete model or physical edge hardware</t>
  </si>
  <si>
    <t>Complementary Batch 4 — surveys, Edge GenAI, device analysis, and reproducible SoC benchmarking</t>
  </si>
  <si>
    <t>All directed complementary extractions completed</t>
  </si>
  <si>
    <t>All records resolved</t>
  </si>
  <si>
    <t>54 full texts + A26 abstract-only</t>
  </si>
  <si>
    <t>Open final work</t>
  </si>
  <si>
    <t>Denominator/QC audit before quantitative synthesis</t>
  </si>
  <si>
    <t>Empirical benchmarks</t>
  </si>
  <si>
    <t>A96 and A103</t>
  </si>
  <si>
    <t>Review sources</t>
  </si>
  <si>
    <t>A42/A47 systematic; A94 narrative</t>
  </si>
  <si>
    <t>Hardware / corpus</t>
  </si>
  <si>
    <t>0 — Systematic review</t>
  </si>
  <si>
    <t>60 studies</t>
  </si>
  <si>
    <t>PRISMA + OSF; five-stage deployment methodology</t>
  </si>
  <si>
    <t>Strong/Partial review</t>
  </si>
  <si>
    <t>No risk-of-bias assessment or original benchmark</t>
  </si>
  <si>
    <t>35 IIoT studies</t>
  </si>
  <si>
    <t>369→108→41→35; hardware/framework/sensor taxonomy</t>
  </si>
  <si>
    <t>Partial/Strong review</t>
  </si>
  <si>
    <t>No public extraction dataset; heterogeneous evidence</t>
  </si>
  <si>
    <t>66 retained of 135</t>
  </si>
  <si>
    <t>Maps 2022–2024 transition from TinyML to Edge GenAI</t>
  </si>
  <si>
    <t>Weak/Partial review</t>
  </si>
  <si>
    <t>Google search; no reproducible screening or quality assessment</t>
  </si>
  <si>
    <t>4 — Physical SoC benchmark</t>
  </si>
  <si>
    <t>Pi/Coral/Jetson/HummingBoard</t>
  </si>
  <si>
    <t>TPU sharply reduces inference time; standard power 0.9–4.4 W</t>
  </si>
  <si>
    <t>Jetson CPU-only; HummingBoard failed; graph-heavy results</t>
  </si>
  <si>
    <t>4 — Physical NPU benchmark</t>
  </si>
  <si>
    <t>RV1106/RK3568/RK3588</t>
  </si>
  <si>
    <t>Nine YOLOs; 21–97 ms Nano at 640; 74.93–978.10 mJ/frame</t>
  </si>
  <si>
    <t>Rockchip/YOLO scope; data request-only; no public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</si>
</sst>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b/>
      <sz val="11"/>
      <color rgb="FFFFFFFF"/>
      <name val="Carlito"/>
    </font>
    <font>
      <b/>
      <sz val="11"/>
      <color rgb="FF153B4A"/>
      <name val="Carlito"/>
    </font>
    <font>
      <b/>
      <sz val="16"/>
      <color rgb="FFFFFFFF"/>
      <name val="Aptos"/>
    </font>
    <font>
      <sz val="11"/>
      <name val="Aptos"/>
    </font>
    <font>
      <b/>
      <sz val="11"/>
      <color rgb="FFFFFFFF"/>
      <name val="Aptos"/>
    </font>
    <font>
      <b/>
      <sz val="11"/>
      <color rgb="FF134F5C"/>
      <name val="Aptos"/>
    </font>
  </fonts>
  <fills count="10">
    <fill>
      <patternFill patternType="none"/>
    </fill>
    <fill>
      <patternFill patternType="gray125"/>
    </fill>
    <fill>
      <patternFill patternType="solid">
        <fgColor rgb="FF153B4A"/>
      </patternFill>
    </fill>
    <fill>
      <patternFill patternType="solid">
        <fgColor rgb="FF2E8792"/>
      </patternFill>
    </fill>
    <fill>
      <patternFill patternType="solid">
        <fgColor rgb="FF0F6B78"/>
      </patternFill>
    </fill>
    <fill>
      <patternFill patternType="solid">
        <fgColor rgb="FFDCEFF2"/>
      </patternFill>
    </fill>
    <fill>
      <patternFill patternType="solid">
        <fgColor rgb="FF0F4C5C"/>
      </patternFill>
    </fill>
    <fill>
      <patternFill patternType="solid">
        <fgColor rgb="FFD9EAD3"/>
      </patternFill>
    </fill>
    <fill>
      <patternFill patternType="solid">
        <fgColor rgb="FF1F6D7A"/>
      </patternFill>
    </fill>
    <fill>
      <patternFill patternType="solid">
        <fgColor rgb="FFEAF4F4"/>
      </patternFill>
    </fill>
  </fills>
  <borders count="5">
    <border>
      <left/>
      <right/>
      <top/>
      <bottom/>
      <diagonal/>
    </border>
    <border>
      <left/>
      <right/>
      <top/>
      <bottom style="thin">
        <color rgb="FFB7C9CD"/>
      </bottom>
      <diagonal/>
    </border>
    <border>
      <left/>
      <right/>
      <top/>
      <bottom style="hair">
        <color rgb="FFDDE6E8"/>
      </bottom>
      <diagonal/>
    </border>
    <border>
      <left/>
      <right style="hair">
        <color rgb="FFE7EEF0"/>
      </right>
      <top/>
      <bottom style="hair">
        <color rgb="FFDDE6E8"/>
      </bottom>
      <diagonal/>
    </border>
    <border>
      <left/>
      <right style="hair">
        <color rgb="FFE7EEF0"/>
      </right>
      <top/>
      <bottom/>
      <diagonal/>
    </border>
  </borders>
  <cellStyleXfs count="1">
    <xf numFmtId="0" fontId="0" fillId="0" borderId="0"/>
  </cellStyleXfs>
  <cellXfs count="18">
    <xf numFmtId="0" fontId="0" fillId="0" borderId="0" xfId="0"/>
    <xf numFmtId="0" fontId="2" fillId="3" borderId="1" xfId="0" applyFont="1" applyFill="1"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2" fillId="4" borderId="0" xfId="0" applyFont="1" applyFill="1" applyAlignment="1">
      <alignment horizontal="center" vertical="center" wrapText="1"/>
    </xf>
    <xf numFmtId="0" fontId="0" fillId="0" borderId="0" xfId="0" applyAlignment="1">
      <alignment vertical="top" wrapText="1"/>
    </xf>
    <xf numFmtId="0" fontId="0" fillId="0" borderId="4" xfId="0" applyBorder="1" applyAlignment="1">
      <alignment vertical="top" wrapText="1"/>
    </xf>
    <xf numFmtId="0" fontId="3" fillId="5" borderId="0" xfId="0" applyFont="1" applyFill="1" applyAlignment="1">
      <alignment horizontal="left" vertical="center" wrapText="1"/>
    </xf>
    <xf numFmtId="0" fontId="3" fillId="5" borderId="2" xfId="0" applyFont="1" applyFill="1" applyBorder="1" applyAlignment="1">
      <alignment horizontal="left" vertical="center" wrapText="1"/>
    </xf>
    <xf numFmtId="0" fontId="5" fillId="0" borderId="0" xfId="0" applyFont="1"/>
    <xf numFmtId="0" fontId="6" fillId="8" borderId="0" xfId="0" applyFont="1" applyFill="1" applyAlignment="1">
      <alignment horizontal="center" vertical="center" wrapText="1"/>
    </xf>
    <xf numFmtId="0" fontId="5" fillId="9" borderId="0" xfId="0" applyFont="1" applyFill="1" applyAlignment="1">
      <alignment vertical="top" wrapText="1"/>
    </xf>
    <xf numFmtId="0" fontId="5" fillId="0" borderId="0" xfId="0" applyFont="1" applyAlignment="1">
      <alignment vertical="top" wrapText="1"/>
    </xf>
    <xf numFmtId="0" fontId="0" fillId="0" borderId="0" xfId="0" applyAlignment="1">
      <alignment vertical="center" wrapText="1"/>
    </xf>
    <xf numFmtId="0" fontId="1" fillId="2" borderId="0" xfId="0" applyFont="1" applyFill="1" applyAlignment="1">
      <alignment horizontal="left" vertical="center"/>
    </xf>
    <xf numFmtId="0" fontId="2" fillId="4" borderId="0" xfId="0" applyFont="1" applyFill="1" applyAlignment="1">
      <alignment horizontal="center" vertical="center" wrapText="1"/>
    </xf>
    <xf numFmtId="0" fontId="4" fillId="6" borderId="0" xfId="0" applyFont="1" applyFill="1" applyAlignment="1">
      <alignment horizontal="center" vertical="center"/>
    </xf>
    <xf numFmtId="0" fontId="7" fillId="7" borderId="0" xfId="0" applyFont="1" applyFill="1" applyAlignment="1">
      <alignment horizontal="left" vertical="center"/>
    </xf>
  </cellXfs>
  <cellStyles count="1">
    <cellStyle name="Normal" xfId="0" builtinId="0"/>
  </cellStyles>
  <dxfs count="6">
    <dxf>
      <fill>
        <patternFill>
          <bgColor rgb="FFE8F5EE"/>
        </patternFill>
      </fill>
    </dxf>
    <dxf>
      <fill>
        <patternFill>
          <bgColor rgb="FFFDECEC"/>
        </patternFill>
      </fill>
    </dxf>
    <dxf>
      <fill>
        <patternFill>
          <bgColor rgb="FFFFF5D6"/>
        </patternFill>
      </fill>
    </dxf>
    <dxf>
      <fill>
        <patternFill>
          <bgColor rgb="FFFFF5D6"/>
        </patternFill>
      </fill>
    </dxf>
    <dxf>
      <fill>
        <patternFill>
          <bgColor rgb="FFFFF5D6"/>
        </patternFill>
      </fill>
    </dxf>
    <dxf>
      <fill>
        <patternFill>
          <bgColor rgb="FFFFF3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a:lstStyle/>
          <a:p>
            <a:r>
              <a:t>Pilot coverage by corpus</a:t>
            </a:r>
          </a:p>
        </c:rich>
      </c:tx>
      <c:overlay val="0"/>
    </c:title>
    <c:autoTitleDeleted val="0"/>
    <c:plotArea>
      <c:layout/>
      <c:barChart>
        <c:barDir val="col"/>
        <c:grouping val="clustered"/>
        <c:varyColors val="0"/>
        <c:ser>
          <c:idx val="0"/>
          <c:order val="0"/>
          <c:tx>
            <c:v>Pilot</c:v>
          </c:tx>
          <c:invertIfNegative val="1"/>
          <c:cat>
            <c:strRef>
              <c:f>'07_PILOT_SUMMARY'!$J$4:$J$5</c:f>
              <c:strCache>
                <c:ptCount val="2"/>
                <c:pt idx="0">
                  <c:v>Core</c:v>
                </c:pt>
                <c:pt idx="1">
                  <c:v>Complementary</c:v>
                </c:pt>
              </c:strCache>
            </c:strRef>
          </c:cat>
          <c:val>
            <c:numRef>
              <c:f>'07_PILOT_SUMMARY'!$K$4:$K$5</c:f>
              <c:numCache>
                <c:formatCode>General</c:formatCode>
                <c:ptCount val="2"/>
                <c:pt idx="0">
                  <c:v>5</c:v>
                </c:pt>
                <c:pt idx="1">
                  <c:v>3</c:v>
                </c:pt>
              </c:numCache>
            </c:numRef>
          </c:val>
          <c:extLst>
            <c:ext xmlns:c16="http://schemas.microsoft.com/office/drawing/2014/chart" uri="{C3380CC4-5D6E-409C-BE32-E72D297353CC}">
              <c16:uniqueId val="{00000000-D564-4068-8D35-1C93569514EC}"/>
            </c:ext>
          </c:extLst>
        </c:ser>
        <c:ser>
          <c:idx val="1"/>
          <c:order val="1"/>
          <c:tx>
            <c:v>Total</c:v>
          </c:tx>
          <c:invertIfNegative val="1"/>
          <c:cat>
            <c:strRef>
              <c:f>'07_PILOT_SUMMARY'!$J$4:$J$5</c:f>
              <c:strCache>
                <c:ptCount val="2"/>
                <c:pt idx="0">
                  <c:v>Core</c:v>
                </c:pt>
                <c:pt idx="1">
                  <c:v>Complementary</c:v>
                </c:pt>
              </c:strCache>
            </c:strRef>
          </c:cat>
          <c:val>
            <c:numRef>
              <c:f>'07_PILOT_SUMMARY'!$L$4:$L$5</c:f>
              <c:numCache>
                <c:formatCode>General</c:formatCode>
                <c:ptCount val="2"/>
                <c:pt idx="0">
                  <c:v>29</c:v>
                </c:pt>
                <c:pt idx="1">
                  <c:v>26</c:v>
                </c:pt>
              </c:numCache>
            </c:numRef>
          </c:val>
          <c:extLst>
            <c:ext xmlns:c16="http://schemas.microsoft.com/office/drawing/2014/chart" uri="{C3380CC4-5D6E-409C-BE32-E72D297353CC}">
              <c16:uniqueId val="{00000001-D564-4068-8D35-1C93569514E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6</xdr:row>
      <xdr:rowOff>0</xdr:rowOff>
    </xdr:from>
    <xdr:to>
      <xdr:col>17</xdr:col>
      <xdr:colOff>0</xdr:colOff>
      <xdr:row>20</xdr:row>
      <xdr:rowOff>0</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55Table" displayName="Master55Table" ref="A1:U56">
  <tableColumns count="21">
    <tableColumn id="1" xr3:uid="{00000000-0010-0000-0000-000001000000}" name="ID"/>
    <tableColumn id="2" xr3:uid="{00000000-0010-0000-0000-000002000000}" name="Corpus"/>
    <tableColumn id="3" xr3:uid="{00000000-0010-0000-0000-000003000000}" name="Extraction mode"/>
    <tableColumn id="4" xr3:uid="{00000000-0010-0000-0000-000004000000}" name="Pilot"/>
    <tableColumn id="5" xr3:uid="{00000000-0010-0000-0000-000005000000}" name="Extraction status"/>
    <tableColumn id="6" xr3:uid="{00000000-0010-0000-0000-000006000000}" name="Year"/>
    <tableColumn id="7" xr3:uid="{00000000-0010-0000-0000-000007000000}" name="Authors"/>
    <tableColumn id="8" xr3:uid="{00000000-0010-0000-0000-000008000000}" name="Title"/>
    <tableColumn id="9" xr3:uid="{00000000-0010-0000-0000-000009000000}" name="Venue"/>
    <tableColumn id="10" xr3:uid="{00000000-0010-0000-0000-00000A000000}" name="Document type"/>
    <tableColumn id="11" xr3:uid="{00000000-0010-0000-0000-00000B000000}" name="Publication status"/>
    <tableColumn id="12" xr3:uid="{00000000-0010-0000-0000-00000C000000}" name="Publication verification"/>
    <tableColumn id="13" xr3:uid="{00000000-0010-0000-0000-00000D000000}" name="Preprint"/>
    <tableColumn id="14" xr3:uid="{00000000-0010-0000-0000-00000E000000}" name="DOI / identifier"/>
    <tableColumn id="15" xr3:uid="{00000000-0010-0000-0000-00000F000000}" name="URL"/>
    <tableColumn id="16" xr3:uid="{00000000-0010-0000-0000-000010000000}" name="Sections supported"/>
    <tableColumn id="17" xr3:uid="{00000000-0010-0000-0000-000011000000}" name="Inclusion role"/>
    <tableColumn id="18" xr3:uid="{00000000-0010-0000-0000-000012000000}" name="Available source basis"/>
    <tableColumn id="19" xr3:uid="{00000000-0010-0000-0000-000013000000}" name="Full-text status"/>
    <tableColumn id="20" xr3:uid="{00000000-0010-0000-0000-000014000000}" name="Reference as integrated"/>
    <tableColumn id="21" xr3:uid="{00000000-0010-0000-0000-000015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re29ExtractionTable" displayName="Core29ExtractionTable" ref="A2:BK31">
  <tableColumns count="63">
    <tableColumn id="1" xr3:uid="{00000000-0010-0000-0100-000001000000}" name="ID"/>
    <tableColumn id="2" xr3:uid="{00000000-0010-0000-0100-000002000000}" name="Pilot"/>
    <tableColumn id="3" xr3:uid="{00000000-0010-0000-0100-000003000000}" name="Extraction status"/>
    <tableColumn id="4" xr3:uid="{00000000-0010-0000-0100-000004000000}" name="Source basis"/>
    <tableColumn id="5" xr3:uid="{00000000-0010-0000-0100-000005000000}" name="Title"/>
    <tableColumn id="6" xr3:uid="{00000000-0010-0000-0100-000006000000}" name="Year"/>
    <tableColumn id="7" xr3:uid="{00000000-0010-0000-0100-000007000000}" name="Document type"/>
    <tableColumn id="8" xr3:uid="{00000000-0010-0000-0100-000008000000}" name="Publication status"/>
    <tableColumn id="9" xr3:uid="{00000000-0010-0000-0100-000009000000}" name="DOI / URL"/>
    <tableColumn id="10" xr3:uid="{00000000-0010-0000-0100-00000A000000}" name="Sections supported"/>
    <tableColumn id="11" xr3:uid="{00000000-0010-0000-0100-00000B000000}" name="Approach"/>
    <tableColumn id="12" xr3:uid="{00000000-0010-0000-0100-00000C000000}" name="Contribution"/>
    <tableColumn id="13" xr3:uid="{00000000-0010-0000-0100-00000D000000}" name="Data / evidence"/>
    <tableColumn id="14" xr3:uid="{00000000-0010-0000-0100-00000E000000}" name="Method"/>
    <tableColumn id="15" xr3:uid="{00000000-0010-0000-0100-00000F000000}" name="Validation (source synthesis)"/>
    <tableColumn id="16" xr3:uid="{00000000-0010-0000-0100-000010000000}" name="Main finding"/>
    <tableColumn id="17" xr3:uid="{00000000-0010-0000-0100-000011000000}" name="Limitation (source synthesis)"/>
    <tableColumn id="18" xr3:uid="{00000000-0010-0000-0100-000012000000}" name="Application domain"/>
    <tableColumn id="19" xr3:uid="{00000000-0010-0000-0100-000013000000}" name="Task"/>
    <tableColumn id="20" xr3:uid="{00000000-0010-0000-0100-000014000000}" name="Data modality"/>
    <tableColumn id="21" xr3:uid="{00000000-0010-0000-0100-000015000000}" name="Dataset / source"/>
    <tableColumn id="22" xr3:uid="{00000000-0010-0000-0100-000016000000}" name="Sample / subjects / sessions"/>
    <tableColumn id="23" xr3:uid="{00000000-0010-0000-0100-000017000000}" name="Validation design"/>
    <tableColumn id="24" xr3:uid="{00000000-0010-0000-0100-000018000000}" name="Preprocessing / features"/>
    <tableColumn id="25" xr3:uid="{00000000-0010-0000-0100-000019000000}" name="Model family"/>
    <tableColumn id="26" xr3:uid="{00000000-0010-0000-0100-00001A000000}" name="Architecture"/>
    <tableColumn id="27" xr3:uid="{00000000-0010-0000-0100-00001B000000}" name="Parameters / MACs"/>
    <tableColumn id="28" xr3:uid="{00000000-0010-0000-0100-00001C000000}" name="Numerical precision"/>
    <tableColumn id="29" xr3:uid="{00000000-0010-0000-0100-00001D000000}" name="Learning mode"/>
    <tableColumn id="30" xr3:uid="{00000000-0010-0000-0100-00001E000000}" name="Optimization techniques"/>
    <tableColumn id="31" xr3:uid="{00000000-0010-0000-0100-00001F000000}" name="Optimization stage"/>
    <tableColumn id="32" xr3:uid="{00000000-0010-0000-0100-000020000000}" name="Hardware class"/>
    <tableColumn id="33" xr3:uid="{00000000-0010-0000-0100-000021000000}" name="Device / platform"/>
    <tableColumn id="34" xr3:uid="{00000000-0010-0000-0100-000022000000}" name="CPU / accelerator"/>
    <tableColumn id="35" xr3:uid="{00000000-0010-0000-0100-000023000000}" name="Clock"/>
    <tableColumn id="36" xr3:uid="{00000000-0010-0000-0100-000024000000}" name="RAM available"/>
    <tableColumn id="37" xr3:uid="{00000000-0010-0000-0100-000025000000}" name="Flash / storage available"/>
    <tableColumn id="38" xr3:uid="{00000000-0010-0000-0100-000026000000}" name="Sensors / OS"/>
    <tableColumn id="39" xr3:uid="{00000000-0010-0000-0100-000027000000}" name="Hardware constraints"/>
    <tableColumn id="40" xr3:uid="{00000000-0010-0000-0100-000028000000}" name="Runtime / framework"/>
    <tableColumn id="41" xr3:uid="{00000000-0010-0000-0100-000029000000}" name="Compiler / toolchain"/>
    <tableColumn id="42" xr3:uid="{00000000-0010-0000-0100-00002A000000}" name="Code generation / optimized kernels"/>
    <tableColumn id="43" xr3:uid="{00000000-0010-0000-0100-00002B000000}" name="Memory allocation"/>
    <tableColumn id="44" xr3:uid="{00000000-0010-0000-0100-00002C000000}" name="Validation level"/>
    <tableColumn id="45" xr3:uid="{00000000-0010-0000-0100-00002D000000}" name="Validation environment"/>
    <tableColumn id="46" xr3:uid="{00000000-0010-0000-0100-00002E000000}" name="Physical hardware tested"/>
    <tableColumn id="47" xr3:uid="{00000000-0010-0000-0100-00002F000000}" name="Repetitions / uncertainty"/>
    <tableColumn id="48" xr3:uid="{00000000-0010-0000-0100-000030000000}" name="Real-time claim / deadline"/>
    <tableColumn id="49" xr3:uid="{00000000-0010-0000-0100-000031000000}" name="Predictive metrics"/>
    <tableColumn id="50" xr3:uid="{00000000-0010-0000-0100-000032000000}" name="Latency"/>
    <tableColumn id="51" xr3:uid="{00000000-0010-0000-0100-000033000000}" name="Throughput"/>
    <tableColumn id="52" xr3:uid="{00000000-0010-0000-0100-000034000000}" name="Peak RAM"/>
    <tableColumn id="53" xr3:uid="{00000000-0010-0000-0100-000035000000}" name="Model / Flash size"/>
    <tableColumn id="54" xr3:uid="{00000000-0010-0000-0100-000036000000}" name="Energy / power"/>
    <tableColumn id="55" xr3:uid="{00000000-0010-0000-0100-000037000000}" name="Other system metrics"/>
    <tableColumn id="56" xr3:uid="{00000000-0010-0000-0100-000038000000}" name="Reproducibility summary"/>
    <tableColumn id="57" xr3:uid="{00000000-0010-0000-0100-000039000000}" name="Reviewer limitations"/>
    <tableColumn id="58" xr3:uid="{00000000-0010-0000-0100-00003A000000}" name="Evidence locator"/>
    <tableColumn id="59" xr3:uid="{00000000-0010-0000-0100-00003B000000}" name="Confidence"/>
    <tableColumn id="60" xr3:uid="{00000000-0010-0000-0100-00003C000000}" name="Extraction notes"/>
    <tableColumn id="61" xr3:uid="{00000000-0010-0000-0100-00003D000000}" name="Full-text review status"/>
    <tableColumn id="62" xr3:uid="{00000000-0010-0000-0100-00003E000000}" name="Reference text"/>
    <tableColumn id="63" xr3:uid="{00000000-0010-0000-0100-00003F000000}" name="Abstrac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plementary26Table" displayName="Complementary26Table" ref="A2:AB28">
  <tableColumns count="28">
    <tableColumn id="1" xr3:uid="{00000000-0010-0000-0200-000001000000}" name="ID"/>
    <tableColumn id="2" xr3:uid="{00000000-0010-0000-0200-000002000000}" name="Pilot"/>
    <tableColumn id="3" xr3:uid="{00000000-0010-0000-0200-000003000000}" name="Extraction status"/>
    <tableColumn id="4" xr3:uid="{00000000-0010-0000-0200-000004000000}" name="Source basis"/>
    <tableColumn id="5" xr3:uid="{00000000-0010-0000-0200-000005000000}" name="Title"/>
    <tableColumn id="6" xr3:uid="{00000000-0010-0000-0200-000006000000}" name="Year"/>
    <tableColumn id="7" xr3:uid="{00000000-0010-0000-0200-000007000000}" name="Document type"/>
    <tableColumn id="8" xr3:uid="{00000000-0010-0000-0200-000008000000}" name="Publication status"/>
    <tableColumn id="9" xr3:uid="{00000000-0010-0000-0200-000009000000}" name="DOI / URL"/>
    <tableColumn id="10" xr3:uid="{00000000-0010-0000-0200-00000A000000}" name="Sections supported"/>
    <tableColumn id="11" xr3:uid="{00000000-0010-0000-0200-00000B000000}" name="Reason for complementary inclusion"/>
    <tableColumn id="12" xr3:uid="{00000000-0010-0000-0200-00000C000000}" name="Assigned review role"/>
    <tableColumn id="13" xr3:uid="{00000000-0010-0000-0200-00000D000000}" name="Specific contribution"/>
    <tableColumn id="14" xr3:uid="{00000000-0010-0000-0200-00000E000000}" name="Target claim / section"/>
    <tableColumn id="15" xr3:uid="{00000000-0010-0000-0200-00000F000000}" name="Hardware / architecture"/>
    <tableColumn id="16" xr3:uid="{00000000-0010-0000-0200-000010000000}" name="Model / task"/>
    <tableColumn id="17" xr3:uid="{00000000-0010-0000-0200-000011000000}" name="Optimization"/>
    <tableColumn id="18" xr3:uid="{00000000-0010-0000-0200-000012000000}" name="Runtime / toolchain"/>
    <tableColumn id="19" xr3:uid="{00000000-0010-0000-0200-000013000000}" name="Validation type"/>
    <tableColumn id="20" xr3:uid="{00000000-0010-0000-0200-000014000000}" name="Key metrics"/>
    <tableColumn id="21" xr3:uid="{00000000-0010-0000-0200-000015000000}" name="Reproducibility evidence"/>
    <tableColumn id="22" xr3:uid="{00000000-0010-0000-0200-000016000000}" name="Limitations"/>
    <tableColumn id="23" xr3:uid="{00000000-0010-0000-0200-000017000000}" name="Evidence locator"/>
    <tableColumn id="24" xr3:uid="{00000000-0010-0000-0200-000018000000}" name="Confidence"/>
    <tableColumn id="25" xr3:uid="{00000000-0010-0000-0200-000019000000}" name="Full-text review status"/>
    <tableColumn id="26" xr3:uid="{00000000-0010-0000-0200-00001A000000}" name="Preprint"/>
    <tableColumn id="27" xr3:uid="{00000000-0010-0000-0200-00001B000000}" name="Reference text"/>
    <tableColumn id="28" xr3:uid="{00000000-0010-0000-0200-00001C000000}" name="Abstrac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debookTable" displayName="CodebookTable" ref="A3:F16">
  <tableColumns count="6">
    <tableColumn id="1" xr3:uid="{00000000-0010-0000-0300-000001000000}" name="Field / code"/>
    <tableColumn id="2" xr3:uid="{00000000-0010-0000-0300-000002000000}" name="Allowed values"/>
    <tableColumn id="3" xr3:uid="{00000000-0010-0000-0300-000003000000}" name="Definition"/>
    <tableColumn id="4" xr3:uid="{00000000-0010-0000-0300-000004000000}" name="Use rule"/>
    <tableColumn id="5" xr3:uid="{00000000-0010-0000-0300-000005000000}" name="Example"/>
    <tableColumn id="6" xr3:uid="{00000000-0010-0000-0300-000006000000}" name="Applies t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producibility55Table" displayName="Reproducibility55Table" ref="A1:S56">
  <tableColumns count="19">
    <tableColumn id="1" xr3:uid="{00000000-0010-0000-0400-000001000000}" name="ID"/>
    <tableColumn id="2" xr3:uid="{00000000-0010-0000-0400-000002000000}" name="Corpus"/>
    <tableColumn id="3" xr3:uid="{00000000-0010-0000-0400-000003000000}" name="Pilot"/>
    <tableColumn id="4" xr3:uid="{00000000-0010-0000-0400-000004000000}" name="Dataset"/>
    <tableColumn id="5" xr3:uid="{00000000-0010-0000-0400-000005000000}" name="Preprocessing scripts"/>
    <tableColumn id="6" xr3:uid="{00000000-0010-0000-0400-000006000000}" name="Training code"/>
    <tableColumn id="7" xr3:uid="{00000000-0010-0000-0400-000007000000}" name="Trained model"/>
    <tableColumn id="8" xr3:uid="{00000000-0010-0000-0400-000008000000}" name="Quantized / deployed model"/>
    <tableColumn id="9" xr3:uid="{00000000-0010-0000-0400-000009000000}" name="Firmware"/>
    <tableColumn id="10" xr3:uid="{00000000-0010-0000-0400-00000A000000}" name="Embedded C/C++"/>
    <tableColumn id="11" xr3:uid="{00000000-0010-0000-0400-00000B000000}" name="Hardware configuration"/>
    <tableColumn id="12" xr3:uid="{00000000-0010-0000-0400-00000C000000}" name="Toolchain versions / build options"/>
    <tableColumn id="13" xr3:uid="{00000000-0010-0000-0400-00000D000000}" name="Measurement protocol"/>
    <tableColumn id="14" xr3:uid="{00000000-0010-0000-0400-00000E000000}" name="Raw benchmark data"/>
    <tableColumn id="15" xr3:uid="{00000000-0010-0000-0400-00000F000000}" name="Persistent repository"/>
    <tableColumn id="16" xr3:uid="{00000000-0010-0000-0400-000010000000}" name="Repository DOI / URL"/>
    <tableColumn id="17" xr3:uid="{00000000-0010-0000-0400-000011000000}" name="Overall status"/>
    <tableColumn id="18" xr3:uid="{00000000-0010-0000-0400-000012000000}" name="Evidence basis"/>
    <tableColumn id="19" xr3:uid="{00000000-0010-0000-0400-000013000000}" name="Review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ualityControlTable" displayName="QualityControlTable" ref="A1:I13">
  <tableColumns count="9">
    <tableColumn id="1" xr3:uid="{00000000-0010-0000-0500-000001000000}" name="Issue ID"/>
    <tableColumn id="2" xr3:uid="{00000000-0010-0000-0500-000002000000}" name="Scope / ID"/>
    <tableColumn id="3" xr3:uid="{00000000-0010-0000-0500-000003000000}" name="Category"/>
    <tableColumn id="4" xr3:uid="{00000000-0010-0000-0500-000004000000}" name="Finding"/>
    <tableColumn id="5" xr3:uid="{00000000-0010-0000-0500-000005000000}" name="Risk"/>
    <tableColumn id="6" xr3:uid="{00000000-0010-0000-0500-000006000000}" name="Proposed resolution"/>
    <tableColumn id="7" xr3:uid="{00000000-0010-0000-0500-000007000000}" name="Status"/>
    <tableColumn id="8" xr3:uid="{00000000-0010-0000-0500-000008000000}" name="Decision / evidence"/>
    <tableColumn id="9" xr3:uid="{00000000-0010-0000-0500-000009000000}" name="Owner / next step"/>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opLeftCell="A19" workbookViewId="0">
      <selection sqref="A1:H1"/>
    </sheetView>
  </sheetViews>
  <sheetFormatPr baseColWidth="10" defaultColWidth="8.796875" defaultRowHeight="13.8"/>
  <cols>
    <col min="1" max="1" width="12" customWidth="1"/>
    <col min="2" max="2" width="42" customWidth="1"/>
    <col min="3" max="3" width="14" customWidth="1"/>
    <col min="4" max="4" width="20" customWidth="1"/>
    <col min="5" max="5" width="24" customWidth="1"/>
    <col min="6" max="6" width="22" customWidth="1"/>
    <col min="7" max="7" width="14" customWidth="1"/>
    <col min="8" max="8" width="42" customWidth="1"/>
  </cols>
  <sheetData>
    <row r="1" spans="1:8" ht="24" customHeight="1">
      <c r="A1" s="14" t="s">
        <v>0</v>
      </c>
      <c r="B1" s="14"/>
      <c r="C1" s="14"/>
      <c r="D1" s="14"/>
      <c r="E1" s="14"/>
      <c r="F1" s="14"/>
      <c r="G1" s="14"/>
      <c r="H1" s="14"/>
    </row>
    <row r="3" spans="1:8" ht="27.6">
      <c r="A3" s="1" t="s">
        <v>1</v>
      </c>
      <c r="B3" s="1" t="s">
        <v>2</v>
      </c>
      <c r="C3" s="1" t="s">
        <v>3</v>
      </c>
      <c r="D3" s="1" t="s">
        <v>4</v>
      </c>
      <c r="E3" s="1" t="s">
        <v>5</v>
      </c>
      <c r="F3" s="1" t="s">
        <v>6</v>
      </c>
      <c r="G3" s="1" t="s">
        <v>7</v>
      </c>
      <c r="H3" s="1" t="s">
        <v>8</v>
      </c>
    </row>
    <row r="4" spans="1:8" ht="43.95" customHeight="1">
      <c r="A4" s="2" t="s">
        <v>9</v>
      </c>
      <c r="B4" s="2">
        <v>29</v>
      </c>
      <c r="C4" s="2">
        <v>26</v>
      </c>
      <c r="D4" s="2">
        <v>54</v>
      </c>
      <c r="E4" s="2" t="s">
        <v>10</v>
      </c>
      <c r="F4" s="2" t="s">
        <v>11</v>
      </c>
      <c r="G4" s="2" t="s">
        <v>12</v>
      </c>
      <c r="H4" s="3" t="s">
        <v>13</v>
      </c>
    </row>
    <row r="6" spans="1:8">
      <c r="A6" s="15" t="s">
        <v>14</v>
      </c>
      <c r="B6" s="15"/>
      <c r="C6" s="15"/>
      <c r="D6" s="15"/>
      <c r="E6" s="15"/>
      <c r="F6" s="15"/>
      <c r="G6" s="15"/>
      <c r="H6" s="15"/>
    </row>
    <row r="7" spans="1:8">
      <c r="A7" s="1" t="s">
        <v>15</v>
      </c>
      <c r="B7" s="1" t="s">
        <v>16</v>
      </c>
      <c r="C7" s="1" t="s">
        <v>17</v>
      </c>
      <c r="D7" s="1" t="s">
        <v>18</v>
      </c>
      <c r="E7" s="1"/>
      <c r="F7" s="1"/>
      <c r="G7" s="1"/>
      <c r="H7" s="1"/>
    </row>
    <row r="8" spans="1:8" ht="69">
      <c r="A8" s="5" t="s">
        <v>19</v>
      </c>
      <c r="B8" s="5" t="s">
        <v>20</v>
      </c>
      <c r="C8" s="5" t="s">
        <v>21</v>
      </c>
      <c r="D8" s="5" t="s">
        <v>22</v>
      </c>
      <c r="E8" s="5"/>
      <c r="F8" s="5"/>
      <c r="G8" s="5"/>
      <c r="H8" s="6"/>
    </row>
    <row r="9" spans="1:8" ht="55.2">
      <c r="A9" s="5" t="s">
        <v>23</v>
      </c>
      <c r="B9" s="5" t="s">
        <v>24</v>
      </c>
      <c r="C9" s="5" t="s">
        <v>25</v>
      </c>
      <c r="D9" s="5" t="s">
        <v>26</v>
      </c>
      <c r="E9" s="5"/>
      <c r="F9" s="5"/>
      <c r="G9" s="5"/>
      <c r="H9" s="6"/>
    </row>
    <row r="10" spans="1:8" ht="69">
      <c r="A10" s="5" t="s">
        <v>27</v>
      </c>
      <c r="B10" s="5" t="s">
        <v>28</v>
      </c>
      <c r="C10" s="5" t="s">
        <v>29</v>
      </c>
      <c r="D10" s="5" t="s">
        <v>30</v>
      </c>
      <c r="E10" s="5"/>
      <c r="F10" s="5"/>
      <c r="G10" s="5"/>
      <c r="H10" s="6"/>
    </row>
    <row r="11" spans="1:8" ht="69">
      <c r="A11" s="5" t="s">
        <v>31</v>
      </c>
      <c r="B11" s="5" t="s">
        <v>32</v>
      </c>
      <c r="C11" s="5" t="s">
        <v>33</v>
      </c>
      <c r="D11" s="5" t="s">
        <v>34</v>
      </c>
      <c r="E11" s="5"/>
      <c r="F11" s="5"/>
      <c r="G11" s="5"/>
      <c r="H11" s="6"/>
    </row>
    <row r="12" spans="1:8" ht="55.2">
      <c r="A12" s="5" t="s">
        <v>35</v>
      </c>
      <c r="B12" s="5" t="s">
        <v>36</v>
      </c>
      <c r="C12" s="5" t="s">
        <v>37</v>
      </c>
      <c r="D12" s="5" t="s">
        <v>38</v>
      </c>
      <c r="E12" s="5"/>
      <c r="F12" s="5"/>
      <c r="G12" s="5"/>
      <c r="H12" s="6"/>
    </row>
    <row r="13" spans="1:8" ht="41.4">
      <c r="A13" s="5" t="s">
        <v>39</v>
      </c>
      <c r="B13" s="5" t="s">
        <v>40</v>
      </c>
      <c r="C13" s="5" t="s">
        <v>41</v>
      </c>
      <c r="D13" s="5" t="s">
        <v>42</v>
      </c>
      <c r="E13" s="5"/>
      <c r="F13" s="5"/>
      <c r="G13" s="5"/>
      <c r="H13" s="6"/>
    </row>
    <row r="14" spans="1:8" ht="55.2">
      <c r="A14" s="2" t="s">
        <v>43</v>
      </c>
      <c r="B14" s="2" t="s">
        <v>44</v>
      </c>
      <c r="C14" s="2" t="s">
        <v>45</v>
      </c>
      <c r="D14" s="2" t="s">
        <v>46</v>
      </c>
      <c r="E14" s="2"/>
      <c r="F14" s="2"/>
      <c r="G14" s="2"/>
      <c r="H14" s="3"/>
    </row>
    <row r="15" spans="1:8">
      <c r="A15" t="s">
        <v>47</v>
      </c>
      <c r="B15" t="s">
        <v>48</v>
      </c>
      <c r="C15" t="s">
        <v>49</v>
      </c>
      <c r="D15" t="s">
        <v>50</v>
      </c>
    </row>
    <row r="16" spans="1:8">
      <c r="A16" t="s">
        <v>51</v>
      </c>
      <c r="B16" t="s">
        <v>52</v>
      </c>
      <c r="C16" t="s">
        <v>53</v>
      </c>
      <c r="D16" t="s">
        <v>50</v>
      </c>
    </row>
    <row r="17" spans="1:8">
      <c r="A17" s="15" t="s">
        <v>54</v>
      </c>
      <c r="B17" s="15" t="s">
        <v>55</v>
      </c>
      <c r="C17" s="15" t="s">
        <v>56</v>
      </c>
      <c r="D17" s="15" t="s">
        <v>50</v>
      </c>
      <c r="E17" s="15"/>
      <c r="F17" s="15"/>
      <c r="G17" s="15"/>
      <c r="H17" s="15"/>
    </row>
    <row r="18" spans="1:8" ht="55.2">
      <c r="A18" s="7" t="s">
        <v>57</v>
      </c>
      <c r="B18" s="5" t="s">
        <v>58</v>
      </c>
      <c r="C18" s="5" t="s">
        <v>59</v>
      </c>
      <c r="D18" s="5" t="s">
        <v>50</v>
      </c>
      <c r="E18" s="5"/>
      <c r="F18" s="5"/>
      <c r="G18" s="5"/>
      <c r="H18" s="6"/>
    </row>
    <row r="19" spans="1:8" ht="55.2">
      <c r="A19" s="7" t="s">
        <v>60</v>
      </c>
      <c r="B19" s="5" t="s">
        <v>61</v>
      </c>
      <c r="C19" s="5" t="s">
        <v>62</v>
      </c>
      <c r="D19" s="5" t="s">
        <v>50</v>
      </c>
      <c r="E19" s="5"/>
      <c r="F19" s="5"/>
      <c r="G19" s="5"/>
      <c r="H19" s="6"/>
    </row>
    <row r="20" spans="1:8" ht="55.2">
      <c r="A20" s="7" t="s">
        <v>60</v>
      </c>
      <c r="B20" s="5" t="s">
        <v>61</v>
      </c>
      <c r="C20" s="5" t="s">
        <v>63</v>
      </c>
      <c r="D20" s="5" t="s">
        <v>50</v>
      </c>
      <c r="E20" s="5"/>
      <c r="F20" s="5"/>
      <c r="G20" s="5"/>
      <c r="H20" s="6"/>
    </row>
    <row r="21" spans="1:8" ht="27.6">
      <c r="A21" s="7" t="s">
        <v>60</v>
      </c>
      <c r="B21" s="5" t="s">
        <v>61</v>
      </c>
      <c r="C21" s="5"/>
      <c r="D21" s="5"/>
      <c r="E21" s="5"/>
      <c r="F21" s="5"/>
      <c r="G21" s="5"/>
      <c r="H21" s="6"/>
    </row>
    <row r="22" spans="1:8" ht="27.6">
      <c r="A22" s="7" t="s">
        <v>60</v>
      </c>
      <c r="B22" s="2" t="s">
        <v>61</v>
      </c>
      <c r="C22" s="2"/>
      <c r="D22" s="2"/>
      <c r="E22" s="2"/>
      <c r="F22" s="2"/>
      <c r="G22" s="2"/>
      <c r="H22" s="3"/>
    </row>
    <row r="23" spans="1:8">
      <c r="A23" t="s">
        <v>60</v>
      </c>
      <c r="B23" t="s">
        <v>61</v>
      </c>
    </row>
    <row r="24" spans="1:8">
      <c r="A24" t="s">
        <v>64</v>
      </c>
      <c r="B24" t="s">
        <v>65</v>
      </c>
      <c r="C24" t="s">
        <v>66</v>
      </c>
      <c r="D24" t="s">
        <v>67</v>
      </c>
    </row>
    <row r="25" spans="1:8">
      <c r="A25" t="s">
        <v>68</v>
      </c>
      <c r="B25" t="s">
        <v>69</v>
      </c>
      <c r="C25" t="s">
        <v>70</v>
      </c>
      <c r="D25" t="s">
        <v>71</v>
      </c>
    </row>
    <row r="26" spans="1:8">
      <c r="A26" t="s">
        <v>72</v>
      </c>
      <c r="B26" t="s">
        <v>73</v>
      </c>
      <c r="C26" t="s">
        <v>74</v>
      </c>
      <c r="D26" t="s">
        <v>75</v>
      </c>
    </row>
  </sheetData>
  <mergeCells count="3">
    <mergeCell ref="A1:H1"/>
    <mergeCell ref="A6:H6"/>
    <mergeCell ref="A17: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6"/>
  <sheetViews>
    <sheetView workbookViewId="0"/>
  </sheetViews>
  <sheetFormatPr baseColWidth="10" defaultColWidth="8.796875" defaultRowHeight="13.8"/>
  <cols>
    <col min="1" max="1" width="8" customWidth="1"/>
    <col min="2" max="3" width="14" customWidth="1"/>
    <col min="4" max="4" width="9" customWidth="1"/>
    <col min="5" max="5" width="28" customWidth="1"/>
    <col min="6" max="6" width="9" customWidth="1"/>
    <col min="7" max="7" width="28" customWidth="1"/>
    <col min="8" max="8" width="45" customWidth="1"/>
    <col min="9" max="9" width="28" customWidth="1"/>
    <col min="10" max="11" width="16" customWidth="1"/>
    <col min="12" max="12" width="22" customWidth="1"/>
    <col min="13" max="13" width="10" customWidth="1"/>
    <col min="14" max="14" width="28" customWidth="1"/>
    <col min="15" max="15" width="30" customWidth="1"/>
    <col min="16" max="16" width="38" customWidth="1"/>
    <col min="17" max="17" width="34" customWidth="1"/>
    <col min="18" max="18" width="30" customWidth="1"/>
    <col min="19" max="19" width="16" customWidth="1"/>
    <col min="20" max="20" width="55" customWidth="1"/>
    <col min="21" max="21" width="28" customWidth="1"/>
  </cols>
  <sheetData>
    <row r="1" spans="1:21" ht="27.6">
      <c r="A1" s="1" t="s">
        <v>76</v>
      </c>
      <c r="B1" s="1" t="s">
        <v>77</v>
      </c>
      <c r="C1" s="1" t="s">
        <v>78</v>
      </c>
      <c r="D1" s="1" t="s">
        <v>79</v>
      </c>
      <c r="E1" s="1" t="s">
        <v>80</v>
      </c>
      <c r="F1" s="1" t="s">
        <v>81</v>
      </c>
      <c r="G1" s="1" t="s">
        <v>82</v>
      </c>
      <c r="H1" s="1" t="s">
        <v>83</v>
      </c>
      <c r="I1" s="1" t="s">
        <v>84</v>
      </c>
      <c r="J1" s="1" t="s">
        <v>85</v>
      </c>
      <c r="K1" s="1" t="s">
        <v>86</v>
      </c>
      <c r="L1" s="1" t="s">
        <v>87</v>
      </c>
      <c r="M1" s="1" t="s">
        <v>88</v>
      </c>
      <c r="N1" s="1" t="s">
        <v>89</v>
      </c>
      <c r="O1" s="1" t="s">
        <v>90</v>
      </c>
      <c r="P1" s="1" t="s">
        <v>91</v>
      </c>
      <c r="Q1" s="1" t="s">
        <v>92</v>
      </c>
      <c r="R1" s="1" t="s">
        <v>93</v>
      </c>
      <c r="S1" s="1" t="s">
        <v>6</v>
      </c>
      <c r="T1" s="1" t="s">
        <v>94</v>
      </c>
      <c r="U1" s="1" t="s">
        <v>95</v>
      </c>
    </row>
    <row r="2" spans="1:21" ht="110.4">
      <c r="A2" s="5" t="s">
        <v>96</v>
      </c>
      <c r="B2" s="5" t="s">
        <v>97</v>
      </c>
      <c r="C2" s="5" t="s">
        <v>98</v>
      </c>
      <c r="D2" s="5" t="s">
        <v>99</v>
      </c>
      <c r="E2" s="5" t="s">
        <v>100</v>
      </c>
      <c r="F2" s="5" t="s">
        <v>101</v>
      </c>
      <c r="G2" s="5" t="s">
        <v>102</v>
      </c>
      <c r="H2" s="5" t="s">
        <v>103</v>
      </c>
      <c r="I2" s="5" t="s">
        <v>104</v>
      </c>
      <c r="J2" s="5" t="s">
        <v>105</v>
      </c>
      <c r="K2" s="5" t="s">
        <v>106</v>
      </c>
      <c r="L2" s="5" t="s">
        <v>107</v>
      </c>
      <c r="M2" s="5" t="s">
        <v>108</v>
      </c>
      <c r="N2" s="5" t="s">
        <v>109</v>
      </c>
      <c r="O2" s="5" t="s">
        <v>110</v>
      </c>
      <c r="P2" s="5" t="s">
        <v>111</v>
      </c>
      <c r="Q2" s="5" t="s">
        <v>112</v>
      </c>
      <c r="R2" s="5" t="s">
        <v>113</v>
      </c>
      <c r="S2" s="5" t="s">
        <v>114</v>
      </c>
      <c r="T2" s="5" t="s">
        <v>115</v>
      </c>
      <c r="U2" s="6" t="s">
        <v>116</v>
      </c>
    </row>
    <row r="3" spans="1:21" ht="69">
      <c r="A3" s="5" t="s">
        <v>117</v>
      </c>
      <c r="B3" s="5" t="s">
        <v>97</v>
      </c>
      <c r="C3" s="5" t="s">
        <v>98</v>
      </c>
      <c r="D3" s="5" t="s">
        <v>108</v>
      </c>
      <c r="E3" s="5" t="s">
        <v>118</v>
      </c>
      <c r="F3" s="5" t="s">
        <v>119</v>
      </c>
      <c r="G3" s="5" t="s">
        <v>120</v>
      </c>
      <c r="H3" s="5" t="s">
        <v>121</v>
      </c>
      <c r="I3" s="5" t="s">
        <v>122</v>
      </c>
      <c r="J3" s="5" t="s">
        <v>123</v>
      </c>
      <c r="K3" s="5" t="s">
        <v>106</v>
      </c>
      <c r="L3" s="5" t="s">
        <v>107</v>
      </c>
      <c r="M3" s="5" t="s">
        <v>108</v>
      </c>
      <c r="N3" s="5" t="s">
        <v>124</v>
      </c>
      <c r="O3" s="5" t="s">
        <v>125</v>
      </c>
      <c r="P3" s="5" t="s">
        <v>126</v>
      </c>
      <c r="Q3" s="5" t="s">
        <v>112</v>
      </c>
      <c r="R3" s="5" t="s">
        <v>113</v>
      </c>
      <c r="S3" s="5" t="s">
        <v>114</v>
      </c>
      <c r="T3" s="5" t="s">
        <v>127</v>
      </c>
      <c r="U3" s="6" t="s">
        <v>128</v>
      </c>
    </row>
    <row r="4" spans="1:21" ht="110.4">
      <c r="A4" s="5" t="s">
        <v>129</v>
      </c>
      <c r="B4" s="5" t="s">
        <v>97</v>
      </c>
      <c r="C4" s="5" t="s">
        <v>98</v>
      </c>
      <c r="D4" s="5" t="s">
        <v>108</v>
      </c>
      <c r="E4" s="5" t="s">
        <v>118</v>
      </c>
      <c r="F4" s="5" t="s">
        <v>101</v>
      </c>
      <c r="G4" s="5" t="s">
        <v>130</v>
      </c>
      <c r="H4" s="5" t="s">
        <v>131</v>
      </c>
      <c r="I4" s="5" t="s">
        <v>132</v>
      </c>
      <c r="J4" s="5" t="s">
        <v>105</v>
      </c>
      <c r="K4" s="5" t="s">
        <v>106</v>
      </c>
      <c r="L4" s="5" t="s">
        <v>107</v>
      </c>
      <c r="M4" s="5" t="s">
        <v>108</v>
      </c>
      <c r="N4" s="5" t="s">
        <v>133</v>
      </c>
      <c r="O4" s="5" t="s">
        <v>134</v>
      </c>
      <c r="P4" s="5" t="s">
        <v>135</v>
      </c>
      <c r="Q4" s="5" t="s">
        <v>112</v>
      </c>
      <c r="R4" s="5" t="s">
        <v>113</v>
      </c>
      <c r="S4" s="5" t="s">
        <v>114</v>
      </c>
      <c r="T4" s="5" t="s">
        <v>136</v>
      </c>
      <c r="U4" s="6" t="s">
        <v>137</v>
      </c>
    </row>
    <row r="5" spans="1:21" ht="69">
      <c r="A5" s="5" t="s">
        <v>138</v>
      </c>
      <c r="B5" s="5" t="s">
        <v>97</v>
      </c>
      <c r="C5" s="5" t="s">
        <v>98</v>
      </c>
      <c r="D5" s="5" t="s">
        <v>108</v>
      </c>
      <c r="E5" s="5" t="s">
        <v>118</v>
      </c>
      <c r="F5" s="5" t="s">
        <v>101</v>
      </c>
      <c r="G5" s="5" t="s">
        <v>139</v>
      </c>
      <c r="H5" s="5" t="s">
        <v>140</v>
      </c>
      <c r="I5" s="5" t="s">
        <v>141</v>
      </c>
      <c r="J5" s="5" t="s">
        <v>105</v>
      </c>
      <c r="K5" s="5" t="s">
        <v>106</v>
      </c>
      <c r="L5" s="5" t="s">
        <v>107</v>
      </c>
      <c r="M5" s="5" t="s">
        <v>108</v>
      </c>
      <c r="N5" s="5" t="s">
        <v>142</v>
      </c>
      <c r="O5" s="5" t="s">
        <v>143</v>
      </c>
      <c r="P5" s="5" t="s">
        <v>144</v>
      </c>
      <c r="Q5" s="5" t="s">
        <v>112</v>
      </c>
      <c r="R5" s="5" t="s">
        <v>113</v>
      </c>
      <c r="S5" s="5" t="s">
        <v>114</v>
      </c>
      <c r="T5" s="5" t="s">
        <v>145</v>
      </c>
      <c r="U5" s="6" t="s">
        <v>146</v>
      </c>
    </row>
    <row r="6" spans="1:21" ht="96.6">
      <c r="A6" s="5" t="s">
        <v>147</v>
      </c>
      <c r="B6" s="5" t="s">
        <v>97</v>
      </c>
      <c r="C6" s="5" t="s">
        <v>98</v>
      </c>
      <c r="D6" s="5" t="s">
        <v>108</v>
      </c>
      <c r="E6" s="5" t="s">
        <v>118</v>
      </c>
      <c r="F6" s="5" t="s">
        <v>101</v>
      </c>
      <c r="G6" s="5" t="s">
        <v>148</v>
      </c>
      <c r="H6" s="5" t="s">
        <v>149</v>
      </c>
      <c r="I6" s="5" t="s">
        <v>150</v>
      </c>
      <c r="J6" s="5" t="s">
        <v>105</v>
      </c>
      <c r="K6" s="5" t="s">
        <v>106</v>
      </c>
      <c r="L6" s="5" t="s">
        <v>107</v>
      </c>
      <c r="M6" s="5" t="s">
        <v>108</v>
      </c>
      <c r="N6" s="5" t="s">
        <v>151</v>
      </c>
      <c r="O6" s="5" t="s">
        <v>152</v>
      </c>
      <c r="P6" s="5" t="s">
        <v>153</v>
      </c>
      <c r="Q6" s="5" t="s">
        <v>112</v>
      </c>
      <c r="R6" s="5" t="s">
        <v>113</v>
      </c>
      <c r="S6" s="5" t="s">
        <v>114</v>
      </c>
      <c r="T6" s="5" t="s">
        <v>154</v>
      </c>
      <c r="U6" s="6" t="s">
        <v>155</v>
      </c>
    </row>
    <row r="7" spans="1:21" ht="96.6">
      <c r="A7" s="5" t="s">
        <v>156</v>
      </c>
      <c r="B7" s="5" t="s">
        <v>97</v>
      </c>
      <c r="C7" s="5" t="s">
        <v>98</v>
      </c>
      <c r="D7" s="5" t="s">
        <v>108</v>
      </c>
      <c r="E7" s="5" t="s">
        <v>118</v>
      </c>
      <c r="F7" s="5" t="s">
        <v>101</v>
      </c>
      <c r="G7" s="5" t="s">
        <v>157</v>
      </c>
      <c r="H7" s="5" t="s">
        <v>158</v>
      </c>
      <c r="I7" s="5" t="s">
        <v>159</v>
      </c>
      <c r="J7" s="5" t="s">
        <v>123</v>
      </c>
      <c r="K7" s="5" t="s">
        <v>106</v>
      </c>
      <c r="L7" s="5" t="s">
        <v>107</v>
      </c>
      <c r="M7" s="5" t="s">
        <v>108</v>
      </c>
      <c r="N7" s="5" t="s">
        <v>160</v>
      </c>
      <c r="O7" s="5" t="s">
        <v>161</v>
      </c>
      <c r="P7" s="5" t="s">
        <v>162</v>
      </c>
      <c r="Q7" s="5" t="s">
        <v>112</v>
      </c>
      <c r="R7" s="5" t="s">
        <v>113</v>
      </c>
      <c r="S7" s="5" t="s">
        <v>114</v>
      </c>
      <c r="T7" s="5" t="s">
        <v>163</v>
      </c>
      <c r="U7" s="6" t="s">
        <v>164</v>
      </c>
    </row>
    <row r="8" spans="1:21" ht="82.8">
      <c r="A8" s="5" t="s">
        <v>165</v>
      </c>
      <c r="B8" s="5" t="s">
        <v>97</v>
      </c>
      <c r="C8" s="5" t="s">
        <v>98</v>
      </c>
      <c r="D8" s="5" t="s">
        <v>108</v>
      </c>
      <c r="E8" s="5" t="s">
        <v>118</v>
      </c>
      <c r="F8" s="5" t="s">
        <v>166</v>
      </c>
      <c r="G8" s="5" t="s">
        <v>167</v>
      </c>
      <c r="H8" s="5" t="s">
        <v>168</v>
      </c>
      <c r="I8" s="5" t="s">
        <v>169</v>
      </c>
      <c r="J8" s="5" t="s">
        <v>105</v>
      </c>
      <c r="K8" s="5" t="s">
        <v>106</v>
      </c>
      <c r="L8" s="5" t="s">
        <v>107</v>
      </c>
      <c r="M8" s="5" t="s">
        <v>108</v>
      </c>
      <c r="N8" s="5" t="s">
        <v>170</v>
      </c>
      <c r="O8" s="5" t="s">
        <v>171</v>
      </c>
      <c r="P8" s="5" t="s">
        <v>172</v>
      </c>
      <c r="Q8" s="5" t="s">
        <v>112</v>
      </c>
      <c r="R8" s="5" t="s">
        <v>113</v>
      </c>
      <c r="S8" s="5" t="s">
        <v>114</v>
      </c>
      <c r="T8" s="5" t="s">
        <v>173</v>
      </c>
      <c r="U8" s="6" t="s">
        <v>174</v>
      </c>
    </row>
    <row r="9" spans="1:21" ht="96.6">
      <c r="A9" s="5" t="s">
        <v>175</v>
      </c>
      <c r="B9" s="5" t="s">
        <v>97</v>
      </c>
      <c r="C9" s="5" t="s">
        <v>98</v>
      </c>
      <c r="D9" s="5" t="s">
        <v>108</v>
      </c>
      <c r="E9" s="5" t="s">
        <v>118</v>
      </c>
      <c r="F9" s="5" t="s">
        <v>101</v>
      </c>
      <c r="G9" s="5" t="s">
        <v>176</v>
      </c>
      <c r="H9" s="5" t="s">
        <v>177</v>
      </c>
      <c r="I9" s="5" t="s">
        <v>178</v>
      </c>
      <c r="J9" s="5" t="s">
        <v>105</v>
      </c>
      <c r="K9" s="5" t="s">
        <v>106</v>
      </c>
      <c r="L9" s="5" t="s">
        <v>107</v>
      </c>
      <c r="M9" s="5" t="s">
        <v>108</v>
      </c>
      <c r="N9" s="5" t="s">
        <v>179</v>
      </c>
      <c r="O9" s="5" t="s">
        <v>180</v>
      </c>
      <c r="P9" s="5" t="s">
        <v>181</v>
      </c>
      <c r="Q9" s="5" t="s">
        <v>112</v>
      </c>
      <c r="R9" s="5" t="s">
        <v>113</v>
      </c>
      <c r="S9" s="5" t="s">
        <v>114</v>
      </c>
      <c r="T9" s="5" t="s">
        <v>182</v>
      </c>
      <c r="U9" s="6" t="s">
        <v>183</v>
      </c>
    </row>
    <row r="10" spans="1:21" ht="96.6">
      <c r="A10" s="5" t="s">
        <v>184</v>
      </c>
      <c r="B10" s="5" t="s">
        <v>97</v>
      </c>
      <c r="C10" s="5" t="s">
        <v>98</v>
      </c>
      <c r="D10" s="5" t="s">
        <v>99</v>
      </c>
      <c r="E10" s="5" t="s">
        <v>100</v>
      </c>
      <c r="F10" s="5" t="s">
        <v>119</v>
      </c>
      <c r="G10" s="5" t="s">
        <v>185</v>
      </c>
      <c r="H10" s="5" t="s">
        <v>186</v>
      </c>
      <c r="I10" s="5" t="s">
        <v>187</v>
      </c>
      <c r="J10" s="5" t="s">
        <v>105</v>
      </c>
      <c r="K10" s="5" t="s">
        <v>106</v>
      </c>
      <c r="L10" s="5" t="s">
        <v>107</v>
      </c>
      <c r="M10" s="5" t="s">
        <v>108</v>
      </c>
      <c r="N10" s="5" t="s">
        <v>188</v>
      </c>
      <c r="O10" s="5" t="s">
        <v>189</v>
      </c>
      <c r="P10" s="5" t="s">
        <v>190</v>
      </c>
      <c r="Q10" s="5" t="s">
        <v>112</v>
      </c>
      <c r="R10" s="5" t="s">
        <v>113</v>
      </c>
      <c r="S10" s="5" t="s">
        <v>114</v>
      </c>
      <c r="T10" s="5" t="s">
        <v>191</v>
      </c>
      <c r="U10" s="6" t="s">
        <v>192</v>
      </c>
    </row>
    <row r="11" spans="1:21" ht="69">
      <c r="A11" s="5" t="s">
        <v>193</v>
      </c>
      <c r="B11" s="5" t="s">
        <v>97</v>
      </c>
      <c r="C11" s="5" t="s">
        <v>98</v>
      </c>
      <c r="D11" s="5" t="s">
        <v>108</v>
      </c>
      <c r="E11" s="5" t="s">
        <v>118</v>
      </c>
      <c r="F11" s="5" t="s">
        <v>101</v>
      </c>
      <c r="G11" s="5" t="s">
        <v>194</v>
      </c>
      <c r="H11" s="5" t="s">
        <v>195</v>
      </c>
      <c r="I11" s="5" t="s">
        <v>196</v>
      </c>
      <c r="J11" s="5" t="s">
        <v>88</v>
      </c>
      <c r="K11" s="5" t="s">
        <v>88</v>
      </c>
      <c r="L11" s="5" t="s">
        <v>197</v>
      </c>
      <c r="M11" s="5" t="s">
        <v>99</v>
      </c>
      <c r="N11" s="5" t="s">
        <v>198</v>
      </c>
      <c r="O11" s="5" t="s">
        <v>199</v>
      </c>
      <c r="P11" s="5" t="s">
        <v>200</v>
      </c>
      <c r="Q11" s="5" t="s">
        <v>112</v>
      </c>
      <c r="R11" s="5" t="s">
        <v>113</v>
      </c>
      <c r="S11" s="5" t="s">
        <v>114</v>
      </c>
      <c r="T11" s="5" t="s">
        <v>201</v>
      </c>
      <c r="U11" s="6" t="s">
        <v>202</v>
      </c>
    </row>
    <row r="12" spans="1:21" ht="69">
      <c r="A12" s="5" t="s">
        <v>203</v>
      </c>
      <c r="B12" s="5" t="s">
        <v>97</v>
      </c>
      <c r="C12" s="5" t="s">
        <v>98</v>
      </c>
      <c r="D12" s="5" t="s">
        <v>108</v>
      </c>
      <c r="E12" s="5" t="s">
        <v>204</v>
      </c>
      <c r="F12" s="5" t="s">
        <v>101</v>
      </c>
      <c r="G12" s="5" t="s">
        <v>205</v>
      </c>
      <c r="H12" s="5" t="s">
        <v>206</v>
      </c>
      <c r="I12" s="5" t="s">
        <v>207</v>
      </c>
      <c r="J12" s="5" t="s">
        <v>123</v>
      </c>
      <c r="K12" s="5" t="s">
        <v>106</v>
      </c>
      <c r="L12" s="5" t="s">
        <v>107</v>
      </c>
      <c r="M12" s="5" t="s">
        <v>108</v>
      </c>
      <c r="N12" s="5" t="s">
        <v>208</v>
      </c>
      <c r="O12" s="5" t="s">
        <v>209</v>
      </c>
      <c r="P12" s="5" t="s">
        <v>190</v>
      </c>
      <c r="Q12" s="5" t="s">
        <v>112</v>
      </c>
      <c r="R12" s="5" t="s">
        <v>113</v>
      </c>
      <c r="S12" s="5" t="s">
        <v>114</v>
      </c>
      <c r="T12" s="5" t="s">
        <v>210</v>
      </c>
      <c r="U12" s="6" t="s">
        <v>211</v>
      </c>
    </row>
    <row r="13" spans="1:21" ht="110.4">
      <c r="A13" s="5" t="s">
        <v>212</v>
      </c>
      <c r="B13" s="5" t="s">
        <v>97</v>
      </c>
      <c r="C13" s="5" t="s">
        <v>98</v>
      </c>
      <c r="D13" s="5" t="s">
        <v>108</v>
      </c>
      <c r="E13" s="5" t="s">
        <v>213</v>
      </c>
      <c r="F13" s="5" t="s">
        <v>166</v>
      </c>
      <c r="G13" s="5" t="s">
        <v>214</v>
      </c>
      <c r="H13" s="5" t="s">
        <v>215</v>
      </c>
      <c r="I13" s="5" t="s">
        <v>216</v>
      </c>
      <c r="J13" s="5" t="s">
        <v>105</v>
      </c>
      <c r="K13" s="5" t="s">
        <v>106</v>
      </c>
      <c r="L13" s="5" t="s">
        <v>107</v>
      </c>
      <c r="M13" s="5" t="s">
        <v>108</v>
      </c>
      <c r="N13" s="5" t="s">
        <v>217</v>
      </c>
      <c r="O13" s="5" t="s">
        <v>218</v>
      </c>
      <c r="P13" s="5" t="s">
        <v>219</v>
      </c>
      <c r="Q13" s="5" t="s">
        <v>112</v>
      </c>
      <c r="R13" s="5" t="s">
        <v>220</v>
      </c>
      <c r="S13" s="5" t="s">
        <v>221</v>
      </c>
      <c r="T13" s="5" t="s">
        <v>222</v>
      </c>
      <c r="U13" s="6" t="s">
        <v>223</v>
      </c>
    </row>
    <row r="14" spans="1:21" ht="69">
      <c r="A14" s="5" t="s">
        <v>224</v>
      </c>
      <c r="B14" s="5" t="s">
        <v>97</v>
      </c>
      <c r="C14" s="5" t="s">
        <v>98</v>
      </c>
      <c r="D14" s="5" t="s">
        <v>99</v>
      </c>
      <c r="E14" s="5" t="s">
        <v>100</v>
      </c>
      <c r="F14" s="5" t="s">
        <v>225</v>
      </c>
      <c r="G14" s="5" t="s">
        <v>226</v>
      </c>
      <c r="H14" s="5" t="s">
        <v>227</v>
      </c>
      <c r="I14" s="5" t="s">
        <v>228</v>
      </c>
      <c r="J14" s="5" t="s">
        <v>105</v>
      </c>
      <c r="K14" s="5" t="s">
        <v>106</v>
      </c>
      <c r="L14" s="5" t="s">
        <v>107</v>
      </c>
      <c r="M14" s="5" t="s">
        <v>108</v>
      </c>
      <c r="N14" s="5" t="s">
        <v>229</v>
      </c>
      <c r="O14" s="5" t="s">
        <v>230</v>
      </c>
      <c r="P14" s="5" t="s">
        <v>231</v>
      </c>
      <c r="Q14" s="5" t="s">
        <v>112</v>
      </c>
      <c r="R14" s="5" t="s">
        <v>113</v>
      </c>
      <c r="S14" s="5" t="s">
        <v>114</v>
      </c>
      <c r="T14" s="5" t="s">
        <v>232</v>
      </c>
      <c r="U14" s="6" t="s">
        <v>233</v>
      </c>
    </row>
    <row r="15" spans="1:21" ht="69">
      <c r="A15" s="5" t="s">
        <v>234</v>
      </c>
      <c r="B15" s="5" t="s">
        <v>97</v>
      </c>
      <c r="C15" s="5" t="s">
        <v>98</v>
      </c>
      <c r="D15" s="5" t="s">
        <v>108</v>
      </c>
      <c r="E15" s="5" t="s">
        <v>204</v>
      </c>
      <c r="F15" s="5" t="s">
        <v>101</v>
      </c>
      <c r="G15" s="5" t="s">
        <v>235</v>
      </c>
      <c r="H15" s="5" t="s">
        <v>236</v>
      </c>
      <c r="I15" s="5" t="s">
        <v>237</v>
      </c>
      <c r="J15" s="5" t="s">
        <v>105</v>
      </c>
      <c r="K15" s="5" t="s">
        <v>106</v>
      </c>
      <c r="L15" s="5" t="s">
        <v>107</v>
      </c>
      <c r="M15" s="5" t="s">
        <v>108</v>
      </c>
      <c r="N15" s="5" t="s">
        <v>238</v>
      </c>
      <c r="O15" s="5" t="s">
        <v>239</v>
      </c>
      <c r="P15" s="5" t="s">
        <v>240</v>
      </c>
      <c r="Q15" s="5" t="s">
        <v>112</v>
      </c>
      <c r="R15" s="5" t="s">
        <v>113</v>
      </c>
      <c r="S15" s="5" t="s">
        <v>114</v>
      </c>
      <c r="T15" s="5" t="s">
        <v>241</v>
      </c>
      <c r="U15" s="6" t="s">
        <v>242</v>
      </c>
    </row>
    <row r="16" spans="1:21" ht="55.2">
      <c r="A16" s="5" t="s">
        <v>243</v>
      </c>
      <c r="B16" s="5" t="s">
        <v>97</v>
      </c>
      <c r="C16" s="5" t="s">
        <v>98</v>
      </c>
      <c r="D16" s="5" t="s">
        <v>108</v>
      </c>
      <c r="E16" s="5" t="s">
        <v>204</v>
      </c>
      <c r="F16" s="5" t="s">
        <v>166</v>
      </c>
      <c r="G16" s="5" t="s">
        <v>244</v>
      </c>
      <c r="H16" s="5" t="s">
        <v>245</v>
      </c>
      <c r="I16" s="5" t="s">
        <v>228</v>
      </c>
      <c r="J16" s="5" t="s">
        <v>105</v>
      </c>
      <c r="K16" s="5" t="s">
        <v>106</v>
      </c>
      <c r="L16" s="5" t="s">
        <v>107</v>
      </c>
      <c r="M16" s="5" t="s">
        <v>108</v>
      </c>
      <c r="N16" s="5" t="s">
        <v>246</v>
      </c>
      <c r="O16" s="5" t="s">
        <v>247</v>
      </c>
      <c r="P16" s="5" t="s">
        <v>248</v>
      </c>
      <c r="Q16" s="5" t="s">
        <v>112</v>
      </c>
      <c r="R16" s="5" t="s">
        <v>113</v>
      </c>
      <c r="S16" s="5" t="s">
        <v>114</v>
      </c>
      <c r="T16" s="5" t="s">
        <v>249</v>
      </c>
      <c r="U16" s="6" t="s">
        <v>250</v>
      </c>
    </row>
    <row r="17" spans="1:21" ht="96.6">
      <c r="A17" s="5" t="s">
        <v>251</v>
      </c>
      <c r="B17" s="5" t="s">
        <v>97</v>
      </c>
      <c r="C17" s="5" t="s">
        <v>98</v>
      </c>
      <c r="D17" s="5" t="s">
        <v>99</v>
      </c>
      <c r="E17" s="5" t="s">
        <v>100</v>
      </c>
      <c r="F17" s="5" t="s">
        <v>101</v>
      </c>
      <c r="G17" s="5" t="s">
        <v>252</v>
      </c>
      <c r="H17" s="5" t="s">
        <v>253</v>
      </c>
      <c r="I17" s="5" t="s">
        <v>254</v>
      </c>
      <c r="J17" s="5" t="s">
        <v>105</v>
      </c>
      <c r="K17" s="5" t="s">
        <v>106</v>
      </c>
      <c r="L17" s="5" t="s">
        <v>107</v>
      </c>
      <c r="M17" s="5" t="s">
        <v>108</v>
      </c>
      <c r="N17" s="5" t="s">
        <v>255</v>
      </c>
      <c r="O17" s="5" t="s">
        <v>256</v>
      </c>
      <c r="P17" s="5" t="s">
        <v>257</v>
      </c>
      <c r="Q17" s="5" t="s">
        <v>112</v>
      </c>
      <c r="R17" s="5" t="s">
        <v>113</v>
      </c>
      <c r="S17" s="5" t="s">
        <v>114</v>
      </c>
      <c r="T17" s="5" t="s">
        <v>258</v>
      </c>
      <c r="U17" s="6" t="s">
        <v>233</v>
      </c>
    </row>
    <row r="18" spans="1:21" ht="151.80000000000001">
      <c r="A18" s="5" t="s">
        <v>259</v>
      </c>
      <c r="B18" s="5" t="s">
        <v>97</v>
      </c>
      <c r="C18" s="5" t="s">
        <v>98</v>
      </c>
      <c r="D18" s="5" t="s">
        <v>108</v>
      </c>
      <c r="E18" s="5" t="s">
        <v>260</v>
      </c>
      <c r="F18" s="5" t="s">
        <v>119</v>
      </c>
      <c r="G18" s="5" t="s">
        <v>261</v>
      </c>
      <c r="H18" s="5" t="s">
        <v>262</v>
      </c>
      <c r="I18" s="5" t="s">
        <v>263</v>
      </c>
      <c r="J18" s="5" t="s">
        <v>105</v>
      </c>
      <c r="K18" s="5" t="s">
        <v>106</v>
      </c>
      <c r="L18" s="5" t="s">
        <v>107</v>
      </c>
      <c r="M18" s="5" t="s">
        <v>108</v>
      </c>
      <c r="N18" s="5" t="s">
        <v>264</v>
      </c>
      <c r="O18" s="5" t="s">
        <v>265</v>
      </c>
      <c r="P18" s="5" t="s">
        <v>266</v>
      </c>
      <c r="Q18" s="5" t="s">
        <v>112</v>
      </c>
      <c r="R18" s="5" t="s">
        <v>113</v>
      </c>
      <c r="S18" s="5" t="s">
        <v>267</v>
      </c>
      <c r="T18" s="5" t="s">
        <v>268</v>
      </c>
      <c r="U18" s="6" t="s">
        <v>269</v>
      </c>
    </row>
    <row r="19" spans="1:21" ht="69">
      <c r="A19" s="5" t="s">
        <v>270</v>
      </c>
      <c r="B19" s="5" t="s">
        <v>97</v>
      </c>
      <c r="C19" s="5" t="s">
        <v>98</v>
      </c>
      <c r="D19" s="5" t="s">
        <v>108</v>
      </c>
      <c r="E19" s="5" t="s">
        <v>204</v>
      </c>
      <c r="F19" s="5" t="s">
        <v>101</v>
      </c>
      <c r="G19" s="5" t="s">
        <v>271</v>
      </c>
      <c r="H19" s="5" t="s">
        <v>272</v>
      </c>
      <c r="I19" s="5" t="s">
        <v>273</v>
      </c>
      <c r="J19" s="5" t="s">
        <v>105</v>
      </c>
      <c r="K19" s="5" t="s">
        <v>106</v>
      </c>
      <c r="L19" s="5" t="s">
        <v>107</v>
      </c>
      <c r="M19" s="5" t="s">
        <v>108</v>
      </c>
      <c r="N19" s="5" t="s">
        <v>274</v>
      </c>
      <c r="O19" s="5" t="s">
        <v>275</v>
      </c>
      <c r="P19" s="5" t="s">
        <v>276</v>
      </c>
      <c r="Q19" s="5" t="s">
        <v>112</v>
      </c>
      <c r="R19" s="5" t="s">
        <v>113</v>
      </c>
      <c r="S19" s="5" t="s">
        <v>114</v>
      </c>
      <c r="T19" s="5" t="s">
        <v>277</v>
      </c>
      <c r="U19" s="6" t="s">
        <v>278</v>
      </c>
    </row>
    <row r="20" spans="1:21" ht="55.2">
      <c r="A20" s="5" t="s">
        <v>279</v>
      </c>
      <c r="B20" s="5" t="s">
        <v>97</v>
      </c>
      <c r="C20" s="5" t="s">
        <v>98</v>
      </c>
      <c r="D20" s="5" t="s">
        <v>108</v>
      </c>
      <c r="E20" s="5" t="s">
        <v>280</v>
      </c>
      <c r="F20" s="5" t="s">
        <v>101</v>
      </c>
      <c r="G20" s="5" t="s">
        <v>281</v>
      </c>
      <c r="H20" s="5" t="s">
        <v>282</v>
      </c>
      <c r="I20" s="5" t="s">
        <v>283</v>
      </c>
      <c r="J20" s="5" t="s">
        <v>284</v>
      </c>
      <c r="K20" s="5" t="s">
        <v>106</v>
      </c>
      <c r="L20" s="5" t="s">
        <v>107</v>
      </c>
      <c r="M20" s="5" t="s">
        <v>108</v>
      </c>
      <c r="N20" s="5" t="s">
        <v>285</v>
      </c>
      <c r="O20" s="5" t="s">
        <v>286</v>
      </c>
      <c r="P20" s="5" t="s">
        <v>287</v>
      </c>
      <c r="Q20" s="5" t="s">
        <v>112</v>
      </c>
      <c r="R20" s="5" t="s">
        <v>113</v>
      </c>
      <c r="S20" s="5" t="s">
        <v>288</v>
      </c>
      <c r="T20" s="5" t="s">
        <v>289</v>
      </c>
      <c r="U20" s="6" t="s">
        <v>290</v>
      </c>
    </row>
    <row r="21" spans="1:21" ht="69">
      <c r="A21" s="5" t="s">
        <v>291</v>
      </c>
      <c r="B21" s="5" t="s">
        <v>97</v>
      </c>
      <c r="C21" s="5" t="s">
        <v>98</v>
      </c>
      <c r="D21" s="5" t="s">
        <v>108</v>
      </c>
      <c r="E21" s="5" t="s">
        <v>260</v>
      </c>
      <c r="F21" s="5" t="s">
        <v>101</v>
      </c>
      <c r="G21" s="5" t="s">
        <v>292</v>
      </c>
      <c r="H21" s="5" t="s">
        <v>293</v>
      </c>
      <c r="I21" s="5" t="s">
        <v>294</v>
      </c>
      <c r="J21" s="5" t="s">
        <v>105</v>
      </c>
      <c r="K21" s="5" t="s">
        <v>106</v>
      </c>
      <c r="L21" s="5" t="s">
        <v>107</v>
      </c>
      <c r="M21" s="5" t="s">
        <v>108</v>
      </c>
      <c r="N21" s="5" t="s">
        <v>295</v>
      </c>
      <c r="O21" s="5" t="s">
        <v>296</v>
      </c>
      <c r="P21" s="5" t="s">
        <v>190</v>
      </c>
      <c r="Q21" s="5" t="s">
        <v>112</v>
      </c>
      <c r="R21" s="5" t="s">
        <v>113</v>
      </c>
      <c r="S21" s="5" t="s">
        <v>267</v>
      </c>
      <c r="T21" s="5" t="s">
        <v>297</v>
      </c>
      <c r="U21" s="6" t="s">
        <v>298</v>
      </c>
    </row>
    <row r="22" spans="1:21" ht="55.2">
      <c r="A22" s="5" t="s">
        <v>299</v>
      </c>
      <c r="B22" s="5" t="s">
        <v>97</v>
      </c>
      <c r="C22" s="5" t="s">
        <v>98</v>
      </c>
      <c r="D22" s="5" t="s">
        <v>108</v>
      </c>
      <c r="E22" s="5" t="s">
        <v>300</v>
      </c>
      <c r="F22" s="5" t="s">
        <v>101</v>
      </c>
      <c r="G22" s="5" t="s">
        <v>301</v>
      </c>
      <c r="H22" s="5" t="s">
        <v>302</v>
      </c>
      <c r="I22" s="5" t="s">
        <v>303</v>
      </c>
      <c r="J22" s="5" t="s">
        <v>105</v>
      </c>
      <c r="K22" s="5" t="s">
        <v>106</v>
      </c>
      <c r="L22" s="5" t="s">
        <v>107</v>
      </c>
      <c r="M22" s="5" t="s">
        <v>108</v>
      </c>
      <c r="N22" s="5" t="s">
        <v>304</v>
      </c>
      <c r="O22" s="5" t="s">
        <v>305</v>
      </c>
      <c r="P22" s="5" t="s">
        <v>190</v>
      </c>
      <c r="Q22" s="5" t="s">
        <v>112</v>
      </c>
      <c r="R22" s="5" t="s">
        <v>113</v>
      </c>
      <c r="S22" s="5" t="s">
        <v>114</v>
      </c>
      <c r="T22" s="5" t="s">
        <v>306</v>
      </c>
      <c r="U22" s="6" t="s">
        <v>307</v>
      </c>
    </row>
    <row r="23" spans="1:21" ht="69">
      <c r="A23" s="5" t="s">
        <v>308</v>
      </c>
      <c r="B23" s="5" t="s">
        <v>97</v>
      </c>
      <c r="C23" s="5" t="s">
        <v>98</v>
      </c>
      <c r="D23" s="5" t="s">
        <v>108</v>
      </c>
      <c r="E23" s="5" t="s">
        <v>309</v>
      </c>
      <c r="F23" s="5" t="s">
        <v>166</v>
      </c>
      <c r="G23" s="5" t="s">
        <v>310</v>
      </c>
      <c r="H23" s="5" t="s">
        <v>311</v>
      </c>
      <c r="I23" s="5" t="s">
        <v>312</v>
      </c>
      <c r="J23" s="5" t="s">
        <v>105</v>
      </c>
      <c r="K23" s="5" t="s">
        <v>106</v>
      </c>
      <c r="L23" s="5" t="s">
        <v>107</v>
      </c>
      <c r="M23" s="5" t="s">
        <v>108</v>
      </c>
      <c r="N23" s="5" t="s">
        <v>313</v>
      </c>
      <c r="O23" s="5" t="s">
        <v>314</v>
      </c>
      <c r="P23" s="5" t="s">
        <v>231</v>
      </c>
      <c r="Q23" s="5" t="s">
        <v>112</v>
      </c>
      <c r="R23" s="5" t="s">
        <v>113</v>
      </c>
      <c r="S23" s="5" t="s">
        <v>267</v>
      </c>
      <c r="T23" s="5" t="s">
        <v>315</v>
      </c>
      <c r="U23" s="6" t="s">
        <v>316</v>
      </c>
    </row>
    <row r="24" spans="1:21" ht="69">
      <c r="A24" s="5" t="s">
        <v>317</v>
      </c>
      <c r="B24" s="5" t="s">
        <v>97</v>
      </c>
      <c r="C24" s="5" t="s">
        <v>98</v>
      </c>
      <c r="D24" s="5" t="s">
        <v>108</v>
      </c>
      <c r="E24" s="5" t="s">
        <v>300</v>
      </c>
      <c r="F24" s="5" t="s">
        <v>101</v>
      </c>
      <c r="G24" s="5" t="s">
        <v>318</v>
      </c>
      <c r="H24" s="5" t="s">
        <v>319</v>
      </c>
      <c r="I24" s="5" t="s">
        <v>320</v>
      </c>
      <c r="J24" s="5" t="s">
        <v>105</v>
      </c>
      <c r="K24" s="5" t="s">
        <v>106</v>
      </c>
      <c r="L24" s="5" t="s">
        <v>107</v>
      </c>
      <c r="M24" s="5" t="s">
        <v>108</v>
      </c>
      <c r="N24" s="5" t="s">
        <v>321</v>
      </c>
      <c r="O24" s="5" t="s">
        <v>322</v>
      </c>
      <c r="P24" s="5" t="s">
        <v>126</v>
      </c>
      <c r="Q24" s="5" t="s">
        <v>112</v>
      </c>
      <c r="R24" s="5" t="s">
        <v>113</v>
      </c>
      <c r="S24" s="5" t="s">
        <v>114</v>
      </c>
      <c r="T24" s="5" t="s">
        <v>323</v>
      </c>
      <c r="U24" s="6" t="s">
        <v>324</v>
      </c>
    </row>
    <row r="25" spans="1:21" ht="96.6">
      <c r="A25" s="5" t="s">
        <v>325</v>
      </c>
      <c r="B25" s="5" t="s">
        <v>97</v>
      </c>
      <c r="C25" s="5" t="s">
        <v>98</v>
      </c>
      <c r="D25" s="5" t="s">
        <v>108</v>
      </c>
      <c r="E25" s="5" t="s">
        <v>300</v>
      </c>
      <c r="F25" s="5" t="s">
        <v>101</v>
      </c>
      <c r="G25" s="5" t="s">
        <v>326</v>
      </c>
      <c r="H25" s="5" t="s">
        <v>327</v>
      </c>
      <c r="I25" s="5" t="s">
        <v>328</v>
      </c>
      <c r="J25" s="5" t="s">
        <v>105</v>
      </c>
      <c r="K25" s="5" t="s">
        <v>106</v>
      </c>
      <c r="L25" s="5" t="s">
        <v>107</v>
      </c>
      <c r="M25" s="5" t="s">
        <v>108</v>
      </c>
      <c r="N25" s="5" t="s">
        <v>329</v>
      </c>
      <c r="O25" s="5" t="s">
        <v>330</v>
      </c>
      <c r="P25" s="5" t="s">
        <v>331</v>
      </c>
      <c r="Q25" s="5" t="s">
        <v>112</v>
      </c>
      <c r="R25" s="5" t="s">
        <v>113</v>
      </c>
      <c r="S25" s="5" t="s">
        <v>114</v>
      </c>
      <c r="T25" s="5" t="s">
        <v>332</v>
      </c>
      <c r="U25" s="6" t="s">
        <v>333</v>
      </c>
    </row>
    <row r="26" spans="1:21" ht="82.8">
      <c r="A26" s="5" t="s">
        <v>334</v>
      </c>
      <c r="B26" s="5" t="s">
        <v>97</v>
      </c>
      <c r="C26" s="5" t="s">
        <v>98</v>
      </c>
      <c r="D26" s="5" t="s">
        <v>108</v>
      </c>
      <c r="E26" s="5" t="s">
        <v>335</v>
      </c>
      <c r="F26" s="5" t="s">
        <v>101</v>
      </c>
      <c r="G26" s="5" t="s">
        <v>336</v>
      </c>
      <c r="H26" s="5" t="s">
        <v>337</v>
      </c>
      <c r="I26" s="5" t="s">
        <v>338</v>
      </c>
      <c r="J26" s="5" t="s">
        <v>105</v>
      </c>
      <c r="K26" s="5" t="s">
        <v>106</v>
      </c>
      <c r="L26" s="5" t="s">
        <v>107</v>
      </c>
      <c r="M26" s="5" t="s">
        <v>108</v>
      </c>
      <c r="N26" s="5" t="s">
        <v>339</v>
      </c>
      <c r="O26" s="5" t="s">
        <v>340</v>
      </c>
      <c r="P26" s="5" t="s">
        <v>341</v>
      </c>
      <c r="Q26" s="5" t="s">
        <v>112</v>
      </c>
      <c r="R26" s="5" t="s">
        <v>113</v>
      </c>
      <c r="S26" s="5" t="s">
        <v>342</v>
      </c>
      <c r="T26" s="5" t="s">
        <v>343</v>
      </c>
      <c r="U26" s="6" t="s">
        <v>344</v>
      </c>
    </row>
    <row r="27" spans="1:21" ht="69">
      <c r="A27" s="5" t="s">
        <v>345</v>
      </c>
      <c r="B27" s="5" t="s">
        <v>97</v>
      </c>
      <c r="C27" s="5" t="s">
        <v>98</v>
      </c>
      <c r="D27" s="5" t="s">
        <v>108</v>
      </c>
      <c r="E27" s="5" t="s">
        <v>300</v>
      </c>
      <c r="F27" s="5" t="s">
        <v>119</v>
      </c>
      <c r="G27" s="5" t="s">
        <v>346</v>
      </c>
      <c r="H27" s="5" t="s">
        <v>347</v>
      </c>
      <c r="I27" s="5" t="s">
        <v>348</v>
      </c>
      <c r="J27" s="5" t="s">
        <v>105</v>
      </c>
      <c r="K27" s="5" t="s">
        <v>106</v>
      </c>
      <c r="L27" s="5" t="s">
        <v>107</v>
      </c>
      <c r="M27" s="5" t="s">
        <v>108</v>
      </c>
      <c r="N27" s="5" t="s">
        <v>349</v>
      </c>
      <c r="O27" s="5" t="s">
        <v>350</v>
      </c>
      <c r="P27" s="5" t="s">
        <v>172</v>
      </c>
      <c r="Q27" s="5" t="s">
        <v>112</v>
      </c>
      <c r="R27" s="5" t="s">
        <v>113</v>
      </c>
      <c r="S27" s="5" t="s">
        <v>114</v>
      </c>
      <c r="T27" s="5" t="s">
        <v>351</v>
      </c>
      <c r="U27" s="6" t="s">
        <v>352</v>
      </c>
    </row>
    <row r="28" spans="1:21" ht="55.2">
      <c r="A28" s="5" t="s">
        <v>353</v>
      </c>
      <c r="B28" s="5" t="s">
        <v>97</v>
      </c>
      <c r="C28" s="5" t="s">
        <v>98</v>
      </c>
      <c r="D28" s="5" t="s">
        <v>108</v>
      </c>
      <c r="E28" s="5" t="s">
        <v>309</v>
      </c>
      <c r="F28" s="5" t="s">
        <v>101</v>
      </c>
      <c r="G28" s="5" t="s">
        <v>354</v>
      </c>
      <c r="H28" s="5" t="s">
        <v>355</v>
      </c>
      <c r="I28" s="5" t="s">
        <v>356</v>
      </c>
      <c r="J28" s="5" t="s">
        <v>105</v>
      </c>
      <c r="K28" s="5" t="s">
        <v>106</v>
      </c>
      <c r="L28" s="5" t="s">
        <v>107</v>
      </c>
      <c r="M28" s="5" t="s">
        <v>108</v>
      </c>
      <c r="N28" s="5" t="s">
        <v>357</v>
      </c>
      <c r="O28" s="5" t="s">
        <v>358</v>
      </c>
      <c r="P28" s="5" t="s">
        <v>359</v>
      </c>
      <c r="Q28" s="5" t="s">
        <v>112</v>
      </c>
      <c r="R28" s="5" t="s">
        <v>113</v>
      </c>
      <c r="S28" s="5" t="s">
        <v>267</v>
      </c>
      <c r="T28" s="5" t="s">
        <v>360</v>
      </c>
      <c r="U28" s="6" t="s">
        <v>361</v>
      </c>
    </row>
    <row r="29" spans="1:21" ht="82.8">
      <c r="A29" s="5" t="s">
        <v>362</v>
      </c>
      <c r="B29" s="5" t="s">
        <v>97</v>
      </c>
      <c r="C29" s="5" t="s">
        <v>98</v>
      </c>
      <c r="D29" s="5" t="s">
        <v>99</v>
      </c>
      <c r="E29" s="5" t="s">
        <v>100</v>
      </c>
      <c r="F29" s="5" t="s">
        <v>363</v>
      </c>
      <c r="G29" s="5" t="s">
        <v>364</v>
      </c>
      <c r="H29" s="5" t="s">
        <v>365</v>
      </c>
      <c r="I29" s="5" t="s">
        <v>366</v>
      </c>
      <c r="J29" s="5" t="s">
        <v>123</v>
      </c>
      <c r="K29" s="5" t="s">
        <v>106</v>
      </c>
      <c r="L29" s="5" t="s">
        <v>107</v>
      </c>
      <c r="M29" s="5" t="s">
        <v>108</v>
      </c>
      <c r="N29" s="5" t="s">
        <v>367</v>
      </c>
      <c r="O29" s="5" t="s">
        <v>368</v>
      </c>
      <c r="P29" s="5" t="s">
        <v>369</v>
      </c>
      <c r="Q29" s="5" t="s">
        <v>112</v>
      </c>
      <c r="R29" s="5" t="s">
        <v>113</v>
      </c>
      <c r="S29" s="5" t="s">
        <v>114</v>
      </c>
      <c r="T29" s="5" t="s">
        <v>370</v>
      </c>
      <c r="U29" s="6" t="s">
        <v>233</v>
      </c>
    </row>
    <row r="30" spans="1:21" ht="69">
      <c r="A30" s="5" t="s">
        <v>371</v>
      </c>
      <c r="B30" s="5" t="s">
        <v>97</v>
      </c>
      <c r="C30" s="5" t="s">
        <v>98</v>
      </c>
      <c r="D30" s="5" t="s">
        <v>108</v>
      </c>
      <c r="E30" s="5" t="s">
        <v>300</v>
      </c>
      <c r="F30" s="5" t="s">
        <v>101</v>
      </c>
      <c r="G30" s="5" t="s">
        <v>372</v>
      </c>
      <c r="H30" s="5" t="s">
        <v>373</v>
      </c>
      <c r="I30" s="5" t="s">
        <v>338</v>
      </c>
      <c r="J30" s="5" t="s">
        <v>105</v>
      </c>
      <c r="K30" s="5" t="s">
        <v>106</v>
      </c>
      <c r="L30" s="5" t="s">
        <v>107</v>
      </c>
      <c r="M30" s="5" t="s">
        <v>108</v>
      </c>
      <c r="N30" s="5" t="s">
        <v>374</v>
      </c>
      <c r="O30" s="5" t="s">
        <v>375</v>
      </c>
      <c r="P30" s="5" t="s">
        <v>376</v>
      </c>
      <c r="Q30" s="5" t="s">
        <v>112</v>
      </c>
      <c r="R30" s="5" t="s">
        <v>113</v>
      </c>
      <c r="S30" s="5" t="s">
        <v>114</v>
      </c>
      <c r="T30" s="5" t="s">
        <v>377</v>
      </c>
      <c r="U30" s="6" t="s">
        <v>378</v>
      </c>
    </row>
    <row r="31" spans="1:21" ht="69">
      <c r="A31" s="5" t="s">
        <v>379</v>
      </c>
      <c r="B31" s="5" t="s">
        <v>380</v>
      </c>
      <c r="C31" s="5" t="s">
        <v>381</v>
      </c>
      <c r="D31" s="5" t="s">
        <v>108</v>
      </c>
      <c r="E31" s="5" t="s">
        <v>382</v>
      </c>
      <c r="F31" s="5" t="s">
        <v>383</v>
      </c>
      <c r="G31" s="5" t="s">
        <v>384</v>
      </c>
      <c r="H31" s="5" t="s">
        <v>385</v>
      </c>
      <c r="I31" s="5" t="s">
        <v>386</v>
      </c>
      <c r="J31" s="5" t="s">
        <v>123</v>
      </c>
      <c r="K31" s="5" t="s">
        <v>106</v>
      </c>
      <c r="L31" s="5" t="s">
        <v>107</v>
      </c>
      <c r="M31" s="5" t="s">
        <v>108</v>
      </c>
      <c r="N31" s="5" t="s">
        <v>387</v>
      </c>
      <c r="O31" s="5" t="s">
        <v>388</v>
      </c>
      <c r="P31" s="5" t="s">
        <v>389</v>
      </c>
      <c r="Q31" s="5" t="s">
        <v>390</v>
      </c>
      <c r="R31" s="5" t="s">
        <v>391</v>
      </c>
      <c r="S31" s="5" t="s">
        <v>114</v>
      </c>
      <c r="T31" s="5" t="s">
        <v>392</v>
      </c>
      <c r="U31" s="6" t="s">
        <v>393</v>
      </c>
    </row>
    <row r="32" spans="1:21" ht="110.4">
      <c r="A32" s="5" t="s">
        <v>394</v>
      </c>
      <c r="B32" s="5" t="s">
        <v>380</v>
      </c>
      <c r="C32" s="5" t="s">
        <v>381</v>
      </c>
      <c r="D32" s="5" t="s">
        <v>108</v>
      </c>
      <c r="E32" s="5" t="s">
        <v>382</v>
      </c>
      <c r="F32" s="5" t="s">
        <v>383</v>
      </c>
      <c r="G32" s="5" t="s">
        <v>395</v>
      </c>
      <c r="H32" s="5" t="s">
        <v>396</v>
      </c>
      <c r="I32" s="5" t="s">
        <v>196</v>
      </c>
      <c r="J32" s="5" t="s">
        <v>88</v>
      </c>
      <c r="K32" s="5" t="s">
        <v>88</v>
      </c>
      <c r="L32" s="5" t="s">
        <v>197</v>
      </c>
      <c r="M32" s="5" t="s">
        <v>99</v>
      </c>
      <c r="N32" s="5" t="s">
        <v>397</v>
      </c>
      <c r="O32" s="5" t="s">
        <v>397</v>
      </c>
      <c r="P32" s="5" t="s">
        <v>398</v>
      </c>
      <c r="Q32" s="5" t="s">
        <v>399</v>
      </c>
      <c r="R32" s="5" t="s">
        <v>400</v>
      </c>
      <c r="S32" s="5" t="s">
        <v>401</v>
      </c>
      <c r="T32" s="5" t="s">
        <v>402</v>
      </c>
      <c r="U32" s="6" t="s">
        <v>403</v>
      </c>
    </row>
    <row r="33" spans="1:21" ht="55.2">
      <c r="A33" s="5" t="s">
        <v>404</v>
      </c>
      <c r="B33" s="5" t="s">
        <v>380</v>
      </c>
      <c r="C33" s="5" t="s">
        <v>381</v>
      </c>
      <c r="D33" s="5" t="s">
        <v>108</v>
      </c>
      <c r="E33" s="5" t="s">
        <v>382</v>
      </c>
      <c r="F33" s="5" t="s">
        <v>225</v>
      </c>
      <c r="G33" s="5" t="s">
        <v>405</v>
      </c>
      <c r="H33" s="5" t="s">
        <v>406</v>
      </c>
      <c r="I33" s="5" t="s">
        <v>196</v>
      </c>
      <c r="J33" s="5" t="s">
        <v>88</v>
      </c>
      <c r="K33" s="5" t="s">
        <v>88</v>
      </c>
      <c r="L33" s="5" t="s">
        <v>197</v>
      </c>
      <c r="M33" s="5" t="s">
        <v>99</v>
      </c>
      <c r="N33" s="5" t="s">
        <v>407</v>
      </c>
      <c r="O33" s="5" t="s">
        <v>407</v>
      </c>
      <c r="P33" s="5" t="s">
        <v>398</v>
      </c>
      <c r="Q33" s="5" t="s">
        <v>408</v>
      </c>
      <c r="R33" s="5" t="s">
        <v>409</v>
      </c>
      <c r="S33" s="5" t="s">
        <v>114</v>
      </c>
      <c r="T33" s="5" t="s">
        <v>410</v>
      </c>
      <c r="U33" s="6" t="s">
        <v>411</v>
      </c>
    </row>
    <row r="34" spans="1:21" ht="69">
      <c r="A34" s="5" t="s">
        <v>412</v>
      </c>
      <c r="B34" s="5" t="s">
        <v>380</v>
      </c>
      <c r="C34" s="5" t="s">
        <v>381</v>
      </c>
      <c r="D34" s="5" t="s">
        <v>108</v>
      </c>
      <c r="E34" s="5" t="s">
        <v>413</v>
      </c>
      <c r="F34" s="5" t="s">
        <v>166</v>
      </c>
      <c r="G34" s="5" t="s">
        <v>414</v>
      </c>
      <c r="H34" s="5" t="s">
        <v>415</v>
      </c>
      <c r="I34" s="5" t="s">
        <v>132</v>
      </c>
      <c r="J34" s="5" t="s">
        <v>105</v>
      </c>
      <c r="K34" s="5" t="s">
        <v>106</v>
      </c>
      <c r="L34" s="5" t="s">
        <v>107</v>
      </c>
      <c r="M34" s="5" t="s">
        <v>108</v>
      </c>
      <c r="N34" s="5" t="s">
        <v>416</v>
      </c>
      <c r="O34" s="5" t="s">
        <v>417</v>
      </c>
      <c r="P34" s="5" t="s">
        <v>418</v>
      </c>
      <c r="Q34" s="5" t="s">
        <v>419</v>
      </c>
      <c r="R34" s="5" t="s">
        <v>420</v>
      </c>
      <c r="S34" s="5" t="s">
        <v>421</v>
      </c>
      <c r="T34" s="5" t="s">
        <v>422</v>
      </c>
      <c r="U34" s="6" t="s">
        <v>423</v>
      </c>
    </row>
    <row r="35" spans="1:21" ht="69">
      <c r="A35" s="5" t="s">
        <v>424</v>
      </c>
      <c r="B35" s="5" t="s">
        <v>380</v>
      </c>
      <c r="C35" s="5" t="s">
        <v>381</v>
      </c>
      <c r="D35" s="5" t="s">
        <v>108</v>
      </c>
      <c r="E35" s="5" t="s">
        <v>425</v>
      </c>
      <c r="F35" s="5" t="s">
        <v>101</v>
      </c>
      <c r="G35" s="5" t="s">
        <v>426</v>
      </c>
      <c r="H35" s="5" t="s">
        <v>427</v>
      </c>
      <c r="I35" s="5" t="s">
        <v>132</v>
      </c>
      <c r="J35" s="5" t="s">
        <v>105</v>
      </c>
      <c r="K35" s="5" t="s">
        <v>106</v>
      </c>
      <c r="L35" s="5" t="s">
        <v>107</v>
      </c>
      <c r="M35" s="5" t="s">
        <v>108</v>
      </c>
      <c r="N35" s="5" t="s">
        <v>428</v>
      </c>
      <c r="O35" s="5" t="s">
        <v>429</v>
      </c>
      <c r="P35" s="5" t="s">
        <v>430</v>
      </c>
      <c r="Q35" s="5" t="s">
        <v>431</v>
      </c>
      <c r="R35" s="5" t="s">
        <v>420</v>
      </c>
      <c r="S35" s="5" t="s">
        <v>114</v>
      </c>
      <c r="T35" s="5" t="s">
        <v>432</v>
      </c>
      <c r="U35" s="6" t="s">
        <v>433</v>
      </c>
    </row>
    <row r="36" spans="1:21" ht="55.2">
      <c r="A36" s="5" t="s">
        <v>434</v>
      </c>
      <c r="B36" s="5" t="s">
        <v>380</v>
      </c>
      <c r="C36" s="5" t="s">
        <v>381</v>
      </c>
      <c r="D36" s="5" t="s">
        <v>108</v>
      </c>
      <c r="E36" s="5" t="s">
        <v>413</v>
      </c>
      <c r="F36" s="5" t="s">
        <v>101</v>
      </c>
      <c r="G36" s="5" t="s">
        <v>435</v>
      </c>
      <c r="H36" s="5" t="s">
        <v>436</v>
      </c>
      <c r="I36" s="5" t="s">
        <v>228</v>
      </c>
      <c r="J36" s="5" t="s">
        <v>105</v>
      </c>
      <c r="K36" s="5" t="s">
        <v>106</v>
      </c>
      <c r="L36" s="5" t="s">
        <v>107</v>
      </c>
      <c r="M36" s="5" t="s">
        <v>108</v>
      </c>
      <c r="N36" s="5" t="s">
        <v>437</v>
      </c>
      <c r="O36" s="5" t="s">
        <v>438</v>
      </c>
      <c r="P36" s="5" t="s">
        <v>418</v>
      </c>
      <c r="Q36" s="5" t="s">
        <v>439</v>
      </c>
      <c r="R36" s="5" t="s">
        <v>420</v>
      </c>
      <c r="S36" s="5" t="s">
        <v>421</v>
      </c>
      <c r="T36" s="5" t="s">
        <v>440</v>
      </c>
      <c r="U36" s="6" t="s">
        <v>441</v>
      </c>
    </row>
    <row r="37" spans="1:21" ht="69">
      <c r="A37" s="5" t="s">
        <v>442</v>
      </c>
      <c r="B37" s="5" t="s">
        <v>380</v>
      </c>
      <c r="C37" s="5" t="s">
        <v>381</v>
      </c>
      <c r="D37" s="5" t="s">
        <v>108</v>
      </c>
      <c r="E37" s="5" t="s">
        <v>443</v>
      </c>
      <c r="F37" s="5" t="s">
        <v>363</v>
      </c>
      <c r="G37" s="5" t="s">
        <v>444</v>
      </c>
      <c r="H37" s="5" t="s">
        <v>445</v>
      </c>
      <c r="I37" s="5" t="s">
        <v>228</v>
      </c>
      <c r="J37" s="5" t="s">
        <v>105</v>
      </c>
      <c r="K37" s="5" t="s">
        <v>106</v>
      </c>
      <c r="L37" s="5" t="s">
        <v>107</v>
      </c>
      <c r="M37" s="5" t="s">
        <v>108</v>
      </c>
      <c r="N37" s="5" t="s">
        <v>446</v>
      </c>
      <c r="O37" s="5" t="s">
        <v>447</v>
      </c>
      <c r="P37" s="5" t="s">
        <v>448</v>
      </c>
      <c r="Q37" s="5" t="s">
        <v>449</v>
      </c>
      <c r="R37" s="5" t="s">
        <v>420</v>
      </c>
      <c r="S37" s="5" t="s">
        <v>114</v>
      </c>
      <c r="T37" s="5" t="s">
        <v>450</v>
      </c>
      <c r="U37" s="6" t="s">
        <v>451</v>
      </c>
    </row>
    <row r="38" spans="1:21" ht="69">
      <c r="A38" s="5" t="s">
        <v>452</v>
      </c>
      <c r="B38" s="5" t="s">
        <v>380</v>
      </c>
      <c r="C38" s="5" t="s">
        <v>381</v>
      </c>
      <c r="D38" s="5" t="s">
        <v>108</v>
      </c>
      <c r="E38" s="5" t="s">
        <v>382</v>
      </c>
      <c r="F38" s="5" t="s">
        <v>383</v>
      </c>
      <c r="G38" s="5" t="s">
        <v>453</v>
      </c>
      <c r="H38" s="5" t="s">
        <v>454</v>
      </c>
      <c r="I38" s="5" t="s">
        <v>132</v>
      </c>
      <c r="J38" s="5" t="s">
        <v>105</v>
      </c>
      <c r="K38" s="5" t="s">
        <v>106</v>
      </c>
      <c r="L38" s="5" t="s">
        <v>107</v>
      </c>
      <c r="M38" s="5" t="s">
        <v>108</v>
      </c>
      <c r="N38" s="5" t="s">
        <v>455</v>
      </c>
      <c r="O38" s="5" t="s">
        <v>456</v>
      </c>
      <c r="P38" s="5" t="s">
        <v>457</v>
      </c>
      <c r="Q38" s="5" t="s">
        <v>458</v>
      </c>
      <c r="R38" s="5" t="s">
        <v>420</v>
      </c>
      <c r="S38" s="5" t="s">
        <v>114</v>
      </c>
      <c r="T38" s="5" t="s">
        <v>459</v>
      </c>
      <c r="U38" s="6" t="s">
        <v>460</v>
      </c>
    </row>
    <row r="39" spans="1:21" ht="69">
      <c r="A39" s="5" t="s">
        <v>461</v>
      </c>
      <c r="B39" s="5" t="s">
        <v>380</v>
      </c>
      <c r="C39" s="5" t="s">
        <v>381</v>
      </c>
      <c r="D39" s="5" t="s">
        <v>108</v>
      </c>
      <c r="E39" s="5" t="s">
        <v>443</v>
      </c>
      <c r="F39" s="5" t="s">
        <v>166</v>
      </c>
      <c r="G39" s="5" t="s">
        <v>462</v>
      </c>
      <c r="H39" s="5" t="s">
        <v>463</v>
      </c>
      <c r="I39" s="5" t="s">
        <v>464</v>
      </c>
      <c r="J39" s="5" t="s">
        <v>105</v>
      </c>
      <c r="K39" s="5" t="s">
        <v>106</v>
      </c>
      <c r="L39" s="5" t="s">
        <v>107</v>
      </c>
      <c r="M39" s="5" t="s">
        <v>108</v>
      </c>
      <c r="N39" s="5" t="s">
        <v>465</v>
      </c>
      <c r="O39" s="5" t="s">
        <v>466</v>
      </c>
      <c r="P39" s="5" t="s">
        <v>467</v>
      </c>
      <c r="Q39" s="5" t="s">
        <v>468</v>
      </c>
      <c r="R39" s="5" t="s">
        <v>420</v>
      </c>
      <c r="S39" s="5" t="s">
        <v>114</v>
      </c>
      <c r="T39" s="5" t="s">
        <v>469</v>
      </c>
      <c r="U39" s="6" t="s">
        <v>470</v>
      </c>
    </row>
    <row r="40" spans="1:21" ht="69">
      <c r="A40" s="5" t="s">
        <v>471</v>
      </c>
      <c r="B40" s="5" t="s">
        <v>380</v>
      </c>
      <c r="C40" s="5" t="s">
        <v>381</v>
      </c>
      <c r="D40" s="5" t="s">
        <v>108</v>
      </c>
      <c r="E40" s="5" t="s">
        <v>425</v>
      </c>
      <c r="F40" s="5" t="s">
        <v>166</v>
      </c>
      <c r="G40" s="5" t="s">
        <v>472</v>
      </c>
      <c r="H40" s="5" t="s">
        <v>473</v>
      </c>
      <c r="I40" s="5" t="s">
        <v>474</v>
      </c>
      <c r="J40" s="5" t="s">
        <v>105</v>
      </c>
      <c r="K40" s="5" t="s">
        <v>106</v>
      </c>
      <c r="L40" s="5" t="s">
        <v>107</v>
      </c>
      <c r="M40" s="5" t="s">
        <v>108</v>
      </c>
      <c r="N40" s="5" t="s">
        <v>475</v>
      </c>
      <c r="O40" s="5" t="s">
        <v>476</v>
      </c>
      <c r="P40" s="5" t="s">
        <v>477</v>
      </c>
      <c r="Q40" s="5" t="s">
        <v>478</v>
      </c>
      <c r="R40" s="5" t="s">
        <v>420</v>
      </c>
      <c r="S40" s="5" t="s">
        <v>114</v>
      </c>
      <c r="T40" s="5" t="s">
        <v>479</v>
      </c>
      <c r="U40" s="6" t="s">
        <v>480</v>
      </c>
    </row>
    <row r="41" spans="1:21" ht="69">
      <c r="A41" s="5" t="s">
        <v>481</v>
      </c>
      <c r="B41" s="5" t="s">
        <v>380</v>
      </c>
      <c r="C41" s="5" t="s">
        <v>381</v>
      </c>
      <c r="D41" s="5" t="s">
        <v>108</v>
      </c>
      <c r="E41" s="5" t="s">
        <v>425</v>
      </c>
      <c r="F41" s="5" t="s">
        <v>482</v>
      </c>
      <c r="G41" s="5" t="s">
        <v>483</v>
      </c>
      <c r="H41" s="5" t="s">
        <v>484</v>
      </c>
      <c r="I41" s="5" t="s">
        <v>485</v>
      </c>
      <c r="J41" s="5" t="s">
        <v>123</v>
      </c>
      <c r="K41" s="5" t="s">
        <v>106</v>
      </c>
      <c r="L41" s="5" t="s">
        <v>107</v>
      </c>
      <c r="M41" s="5" t="s">
        <v>108</v>
      </c>
      <c r="N41" s="5" t="s">
        <v>486</v>
      </c>
      <c r="O41" s="5" t="s">
        <v>487</v>
      </c>
      <c r="P41" s="5" t="s">
        <v>430</v>
      </c>
      <c r="Q41" s="5" t="s">
        <v>488</v>
      </c>
      <c r="R41" s="5" t="s">
        <v>391</v>
      </c>
      <c r="S41" s="5" t="s">
        <v>114</v>
      </c>
      <c r="T41" s="5" t="s">
        <v>489</v>
      </c>
      <c r="U41" s="6" t="s">
        <v>490</v>
      </c>
    </row>
    <row r="42" spans="1:21" ht="69">
      <c r="A42" s="5" t="s">
        <v>491</v>
      </c>
      <c r="B42" s="5" t="s">
        <v>380</v>
      </c>
      <c r="C42" s="5" t="s">
        <v>381</v>
      </c>
      <c r="D42" s="5" t="s">
        <v>108</v>
      </c>
      <c r="E42" s="5" t="s">
        <v>425</v>
      </c>
      <c r="F42" s="5" t="s">
        <v>119</v>
      </c>
      <c r="G42" s="5" t="s">
        <v>492</v>
      </c>
      <c r="H42" s="5" t="s">
        <v>493</v>
      </c>
      <c r="I42" s="5" t="s">
        <v>494</v>
      </c>
      <c r="J42" s="5" t="s">
        <v>123</v>
      </c>
      <c r="K42" s="5" t="s">
        <v>106</v>
      </c>
      <c r="L42" s="5" t="s">
        <v>107</v>
      </c>
      <c r="M42" s="5" t="s">
        <v>108</v>
      </c>
      <c r="N42" s="5" t="s">
        <v>495</v>
      </c>
      <c r="O42" s="5" t="s">
        <v>496</v>
      </c>
      <c r="P42" s="5" t="s">
        <v>430</v>
      </c>
      <c r="Q42" s="5" t="s">
        <v>497</v>
      </c>
      <c r="R42" s="5" t="s">
        <v>391</v>
      </c>
      <c r="S42" s="5" t="s">
        <v>114</v>
      </c>
      <c r="T42" s="5" t="s">
        <v>498</v>
      </c>
      <c r="U42" s="6" t="s">
        <v>499</v>
      </c>
    </row>
    <row r="43" spans="1:21" ht="69">
      <c r="A43" s="5" t="s">
        <v>500</v>
      </c>
      <c r="B43" s="5" t="s">
        <v>380</v>
      </c>
      <c r="C43" s="5" t="s">
        <v>381</v>
      </c>
      <c r="D43" s="5" t="s">
        <v>108</v>
      </c>
      <c r="E43" s="5" t="s">
        <v>425</v>
      </c>
      <c r="F43" s="5" t="s">
        <v>119</v>
      </c>
      <c r="G43" s="5" t="s">
        <v>501</v>
      </c>
      <c r="H43" s="5" t="s">
        <v>502</v>
      </c>
      <c r="I43" s="5" t="s">
        <v>503</v>
      </c>
      <c r="J43" s="5" t="s">
        <v>123</v>
      </c>
      <c r="K43" s="5" t="s">
        <v>106</v>
      </c>
      <c r="L43" s="5" t="s">
        <v>107</v>
      </c>
      <c r="M43" s="5" t="s">
        <v>108</v>
      </c>
      <c r="N43" s="5" t="s">
        <v>504</v>
      </c>
      <c r="O43" s="5" t="s">
        <v>505</v>
      </c>
      <c r="P43" s="5" t="s">
        <v>430</v>
      </c>
      <c r="Q43" s="5" t="s">
        <v>506</v>
      </c>
      <c r="R43" s="5" t="s">
        <v>391</v>
      </c>
      <c r="S43" s="5" t="s">
        <v>114</v>
      </c>
      <c r="T43" s="5" t="s">
        <v>507</v>
      </c>
      <c r="U43" s="6" t="s">
        <v>508</v>
      </c>
    </row>
    <row r="44" spans="1:21" ht="82.8">
      <c r="A44" s="5" t="s">
        <v>509</v>
      </c>
      <c r="B44" s="5" t="s">
        <v>380</v>
      </c>
      <c r="C44" s="5" t="s">
        <v>381</v>
      </c>
      <c r="D44" s="5" t="s">
        <v>99</v>
      </c>
      <c r="E44" s="5" t="s">
        <v>100</v>
      </c>
      <c r="F44" s="5" t="s">
        <v>101</v>
      </c>
      <c r="G44" s="5" t="s">
        <v>510</v>
      </c>
      <c r="H44" s="5" t="s">
        <v>511</v>
      </c>
      <c r="I44" s="5" t="s">
        <v>512</v>
      </c>
      <c r="J44" s="5" t="s">
        <v>105</v>
      </c>
      <c r="K44" s="5" t="s">
        <v>106</v>
      </c>
      <c r="L44" s="5" t="s">
        <v>107</v>
      </c>
      <c r="M44" s="5" t="s">
        <v>108</v>
      </c>
      <c r="N44" s="5" t="s">
        <v>513</v>
      </c>
      <c r="O44" s="5" t="s">
        <v>514</v>
      </c>
      <c r="P44" s="5" t="s">
        <v>515</v>
      </c>
      <c r="Q44" s="5" t="s">
        <v>516</v>
      </c>
      <c r="R44" s="5" t="s">
        <v>113</v>
      </c>
      <c r="S44" s="5" t="s">
        <v>114</v>
      </c>
      <c r="T44" s="5" t="s">
        <v>517</v>
      </c>
      <c r="U44" s="6" t="s">
        <v>233</v>
      </c>
    </row>
    <row r="45" spans="1:21" ht="69">
      <c r="A45" s="5" t="s">
        <v>518</v>
      </c>
      <c r="B45" s="5" t="s">
        <v>380</v>
      </c>
      <c r="C45" s="5" t="s">
        <v>381</v>
      </c>
      <c r="D45" s="5" t="s">
        <v>108</v>
      </c>
      <c r="E45" s="5" t="s">
        <v>382</v>
      </c>
      <c r="F45" s="5" t="s">
        <v>519</v>
      </c>
      <c r="G45" s="5" t="s">
        <v>520</v>
      </c>
      <c r="H45" s="5" t="s">
        <v>521</v>
      </c>
      <c r="I45" s="5" t="s">
        <v>522</v>
      </c>
      <c r="J45" s="5" t="s">
        <v>123</v>
      </c>
      <c r="K45" s="5" t="s">
        <v>106</v>
      </c>
      <c r="L45" s="5" t="s">
        <v>107</v>
      </c>
      <c r="M45" s="5" t="s">
        <v>108</v>
      </c>
      <c r="N45" s="5" t="s">
        <v>523</v>
      </c>
      <c r="O45" s="5" t="s">
        <v>524</v>
      </c>
      <c r="P45" s="5" t="s">
        <v>457</v>
      </c>
      <c r="Q45" s="5" t="s">
        <v>525</v>
      </c>
      <c r="R45" s="5" t="s">
        <v>391</v>
      </c>
      <c r="S45" s="5" t="s">
        <v>114</v>
      </c>
      <c r="T45" s="5" t="s">
        <v>526</v>
      </c>
      <c r="U45" s="6" t="s">
        <v>527</v>
      </c>
    </row>
    <row r="46" spans="1:21" ht="82.8">
      <c r="A46" s="5" t="s">
        <v>528</v>
      </c>
      <c r="B46" s="5" t="s">
        <v>380</v>
      </c>
      <c r="C46" s="5" t="s">
        <v>381</v>
      </c>
      <c r="D46" s="5" t="s">
        <v>99</v>
      </c>
      <c r="E46" s="5" t="s">
        <v>100</v>
      </c>
      <c r="F46" s="5" t="s">
        <v>166</v>
      </c>
      <c r="G46" s="5" t="s">
        <v>529</v>
      </c>
      <c r="H46" s="5" t="s">
        <v>530</v>
      </c>
      <c r="I46" s="5" t="s">
        <v>531</v>
      </c>
      <c r="J46" s="5" t="s">
        <v>105</v>
      </c>
      <c r="K46" s="5" t="s">
        <v>106</v>
      </c>
      <c r="L46" s="5" t="s">
        <v>107</v>
      </c>
      <c r="M46" s="5" t="s">
        <v>108</v>
      </c>
      <c r="N46" s="5" t="s">
        <v>532</v>
      </c>
      <c r="O46" s="5" t="s">
        <v>533</v>
      </c>
      <c r="P46" s="5" t="s">
        <v>534</v>
      </c>
      <c r="Q46" s="5" t="s">
        <v>535</v>
      </c>
      <c r="R46" s="5" t="s">
        <v>113</v>
      </c>
      <c r="S46" s="5" t="s">
        <v>114</v>
      </c>
      <c r="T46" s="5" t="s">
        <v>536</v>
      </c>
      <c r="U46" s="6" t="s">
        <v>233</v>
      </c>
    </row>
    <row r="47" spans="1:21" ht="69">
      <c r="A47" s="5" t="s">
        <v>537</v>
      </c>
      <c r="B47" s="5" t="s">
        <v>380</v>
      </c>
      <c r="C47" s="5" t="s">
        <v>381</v>
      </c>
      <c r="D47" s="5" t="s">
        <v>108</v>
      </c>
      <c r="E47" s="5" t="s">
        <v>443</v>
      </c>
      <c r="F47" s="5" t="s">
        <v>225</v>
      </c>
      <c r="G47" s="5" t="s">
        <v>538</v>
      </c>
      <c r="H47" s="5" t="s">
        <v>539</v>
      </c>
      <c r="I47" s="5" t="s">
        <v>540</v>
      </c>
      <c r="J47" s="5" t="s">
        <v>123</v>
      </c>
      <c r="K47" s="5" t="s">
        <v>106</v>
      </c>
      <c r="L47" s="5" t="s">
        <v>107</v>
      </c>
      <c r="M47" s="5" t="s">
        <v>108</v>
      </c>
      <c r="N47" s="5" t="s">
        <v>541</v>
      </c>
      <c r="O47" s="5" t="s">
        <v>542</v>
      </c>
      <c r="P47" s="5" t="s">
        <v>543</v>
      </c>
      <c r="Q47" s="5" t="s">
        <v>544</v>
      </c>
      <c r="R47" s="5" t="s">
        <v>545</v>
      </c>
      <c r="S47" s="5" t="s">
        <v>114</v>
      </c>
      <c r="T47" s="5" t="s">
        <v>546</v>
      </c>
      <c r="U47" s="6" t="s">
        <v>547</v>
      </c>
    </row>
    <row r="48" spans="1:21" ht="69">
      <c r="A48" s="5" t="s">
        <v>548</v>
      </c>
      <c r="B48" s="5" t="s">
        <v>380</v>
      </c>
      <c r="C48" s="5" t="s">
        <v>381</v>
      </c>
      <c r="D48" s="5" t="s">
        <v>99</v>
      </c>
      <c r="E48" s="5" t="s">
        <v>100</v>
      </c>
      <c r="F48" s="5" t="s">
        <v>101</v>
      </c>
      <c r="G48" s="5" t="s">
        <v>549</v>
      </c>
      <c r="H48" s="5" t="s">
        <v>550</v>
      </c>
      <c r="I48" s="5" t="s">
        <v>328</v>
      </c>
      <c r="J48" s="5" t="s">
        <v>105</v>
      </c>
      <c r="K48" s="5" t="s">
        <v>106</v>
      </c>
      <c r="L48" s="5" t="s">
        <v>107</v>
      </c>
      <c r="M48" s="5" t="s">
        <v>108</v>
      </c>
      <c r="N48" s="5" t="s">
        <v>551</v>
      </c>
      <c r="O48" s="5" t="s">
        <v>552</v>
      </c>
      <c r="P48" s="5" t="s">
        <v>448</v>
      </c>
      <c r="Q48" s="5" t="s">
        <v>553</v>
      </c>
      <c r="R48" s="5" t="s">
        <v>113</v>
      </c>
      <c r="S48" s="5" t="s">
        <v>114</v>
      </c>
      <c r="T48" s="5" t="s">
        <v>554</v>
      </c>
      <c r="U48" s="6" t="s">
        <v>555</v>
      </c>
    </row>
    <row r="49" spans="1:21" ht="69">
      <c r="A49" s="5" t="s">
        <v>556</v>
      </c>
      <c r="B49" s="5" t="s">
        <v>380</v>
      </c>
      <c r="C49" s="5" t="s">
        <v>381</v>
      </c>
      <c r="D49" s="5" t="s">
        <v>108</v>
      </c>
      <c r="E49" s="5" t="s">
        <v>425</v>
      </c>
      <c r="F49" s="5" t="s">
        <v>101</v>
      </c>
      <c r="G49" s="5" t="s">
        <v>557</v>
      </c>
      <c r="H49" s="5" t="s">
        <v>558</v>
      </c>
      <c r="I49" s="5" t="s">
        <v>559</v>
      </c>
      <c r="J49" s="5" t="s">
        <v>105</v>
      </c>
      <c r="K49" s="5" t="s">
        <v>106</v>
      </c>
      <c r="L49" s="5" t="s">
        <v>107</v>
      </c>
      <c r="M49" s="5" t="s">
        <v>108</v>
      </c>
      <c r="N49" s="5" t="s">
        <v>560</v>
      </c>
      <c r="O49" s="5" t="s">
        <v>561</v>
      </c>
      <c r="P49" s="5" t="s">
        <v>562</v>
      </c>
      <c r="Q49" s="5" t="s">
        <v>563</v>
      </c>
      <c r="R49" s="5" t="s">
        <v>420</v>
      </c>
      <c r="S49" s="5" t="s">
        <v>114</v>
      </c>
      <c r="T49" s="5" t="s">
        <v>564</v>
      </c>
      <c r="U49" s="6" t="s">
        <v>565</v>
      </c>
    </row>
    <row r="50" spans="1:21" ht="55.2">
      <c r="A50" s="5" t="s">
        <v>566</v>
      </c>
      <c r="B50" s="5" t="s">
        <v>380</v>
      </c>
      <c r="C50" s="5" t="s">
        <v>381</v>
      </c>
      <c r="D50" s="5" t="s">
        <v>108</v>
      </c>
      <c r="E50" s="5" t="s">
        <v>567</v>
      </c>
      <c r="F50" s="5" t="s">
        <v>166</v>
      </c>
      <c r="G50" s="5" t="s">
        <v>568</v>
      </c>
      <c r="H50" s="5" t="s">
        <v>569</v>
      </c>
      <c r="I50" s="5" t="s">
        <v>570</v>
      </c>
      <c r="J50" s="5" t="s">
        <v>105</v>
      </c>
      <c r="K50" s="5" t="s">
        <v>106</v>
      </c>
      <c r="L50" s="5" t="s">
        <v>107</v>
      </c>
      <c r="M50" s="5" t="s">
        <v>108</v>
      </c>
      <c r="N50" s="5" t="s">
        <v>571</v>
      </c>
      <c r="O50" s="5" t="s">
        <v>572</v>
      </c>
      <c r="P50" s="5" t="s">
        <v>418</v>
      </c>
      <c r="Q50" s="5" t="s">
        <v>573</v>
      </c>
      <c r="R50" s="5" t="s">
        <v>420</v>
      </c>
      <c r="S50" s="5" t="s">
        <v>574</v>
      </c>
      <c r="T50" s="5" t="s">
        <v>575</v>
      </c>
      <c r="U50" s="6" t="s">
        <v>576</v>
      </c>
    </row>
    <row r="51" spans="1:21" ht="69">
      <c r="A51" s="5" t="s">
        <v>577</v>
      </c>
      <c r="B51" s="5" t="s">
        <v>380</v>
      </c>
      <c r="C51" s="5" t="s">
        <v>381</v>
      </c>
      <c r="D51" s="5" t="s">
        <v>108</v>
      </c>
      <c r="E51" s="5" t="s">
        <v>578</v>
      </c>
      <c r="F51" s="5" t="s">
        <v>225</v>
      </c>
      <c r="G51" s="5" t="s">
        <v>579</v>
      </c>
      <c r="H51" s="5" t="s">
        <v>580</v>
      </c>
      <c r="I51" s="5" t="s">
        <v>228</v>
      </c>
      <c r="J51" s="5" t="s">
        <v>105</v>
      </c>
      <c r="K51" s="5" t="s">
        <v>106</v>
      </c>
      <c r="L51" s="5" t="s">
        <v>107</v>
      </c>
      <c r="M51" s="5" t="s">
        <v>108</v>
      </c>
      <c r="N51" s="5" t="s">
        <v>581</v>
      </c>
      <c r="O51" s="5" t="s">
        <v>582</v>
      </c>
      <c r="P51" s="5" t="s">
        <v>534</v>
      </c>
      <c r="Q51" s="5" t="s">
        <v>583</v>
      </c>
      <c r="R51" s="5" t="s">
        <v>420</v>
      </c>
      <c r="S51" s="5" t="s">
        <v>114</v>
      </c>
      <c r="T51" s="5" t="s">
        <v>584</v>
      </c>
      <c r="U51" s="6" t="s">
        <v>585</v>
      </c>
    </row>
    <row r="52" spans="1:21" ht="69">
      <c r="A52" s="5" t="s">
        <v>586</v>
      </c>
      <c r="B52" s="5" t="s">
        <v>380</v>
      </c>
      <c r="C52" s="5" t="s">
        <v>381</v>
      </c>
      <c r="D52" s="5" t="s">
        <v>108</v>
      </c>
      <c r="E52" s="5" t="s">
        <v>382</v>
      </c>
      <c r="F52" s="5" t="s">
        <v>519</v>
      </c>
      <c r="G52" s="5" t="s">
        <v>587</v>
      </c>
      <c r="H52" s="5" t="s">
        <v>588</v>
      </c>
      <c r="I52" s="5" t="s">
        <v>589</v>
      </c>
      <c r="J52" s="5" t="s">
        <v>123</v>
      </c>
      <c r="K52" s="5" t="s">
        <v>106</v>
      </c>
      <c r="L52" s="5" t="s">
        <v>107</v>
      </c>
      <c r="M52" s="5" t="s">
        <v>108</v>
      </c>
      <c r="N52" s="5" t="s">
        <v>590</v>
      </c>
      <c r="O52" s="5" t="s">
        <v>591</v>
      </c>
      <c r="P52" s="5" t="s">
        <v>457</v>
      </c>
      <c r="Q52" s="5" t="s">
        <v>592</v>
      </c>
      <c r="R52" s="5" t="s">
        <v>391</v>
      </c>
      <c r="S52" s="5" t="s">
        <v>114</v>
      </c>
      <c r="T52" s="5" t="s">
        <v>593</v>
      </c>
      <c r="U52" s="6" t="s">
        <v>594</v>
      </c>
    </row>
    <row r="53" spans="1:21" ht="82.8">
      <c r="A53" s="5" t="s">
        <v>595</v>
      </c>
      <c r="B53" s="5" t="s">
        <v>380</v>
      </c>
      <c r="C53" s="5" t="s">
        <v>381</v>
      </c>
      <c r="D53" s="5" t="s">
        <v>108</v>
      </c>
      <c r="E53" s="5" t="s">
        <v>596</v>
      </c>
      <c r="F53" s="5" t="s">
        <v>166</v>
      </c>
      <c r="G53" s="5" t="s">
        <v>597</v>
      </c>
      <c r="H53" s="5" t="s">
        <v>598</v>
      </c>
      <c r="I53" s="5" t="s">
        <v>599</v>
      </c>
      <c r="J53" s="5" t="s">
        <v>105</v>
      </c>
      <c r="K53" s="5" t="s">
        <v>106</v>
      </c>
      <c r="L53" s="5" t="s">
        <v>107</v>
      </c>
      <c r="M53" s="5" t="s">
        <v>108</v>
      </c>
      <c r="N53" s="5" t="s">
        <v>600</v>
      </c>
      <c r="O53" s="5" t="s">
        <v>601</v>
      </c>
      <c r="P53" s="5" t="s">
        <v>602</v>
      </c>
      <c r="Q53" s="5" t="s">
        <v>603</v>
      </c>
      <c r="R53" s="5" t="s">
        <v>420</v>
      </c>
      <c r="S53" s="5" t="s">
        <v>604</v>
      </c>
      <c r="T53" s="5" t="s">
        <v>605</v>
      </c>
      <c r="U53" s="6" t="s">
        <v>606</v>
      </c>
    </row>
    <row r="54" spans="1:21" ht="82.8">
      <c r="A54" s="5" t="s">
        <v>607</v>
      </c>
      <c r="B54" s="5" t="s">
        <v>380</v>
      </c>
      <c r="C54" s="5" t="s">
        <v>381</v>
      </c>
      <c r="D54" s="5" t="s">
        <v>108</v>
      </c>
      <c r="E54" s="5" t="s">
        <v>578</v>
      </c>
      <c r="F54" s="5" t="s">
        <v>101</v>
      </c>
      <c r="G54" s="5" t="s">
        <v>608</v>
      </c>
      <c r="H54" s="5" t="s">
        <v>609</v>
      </c>
      <c r="I54" s="5" t="s">
        <v>610</v>
      </c>
      <c r="J54" s="5" t="s">
        <v>105</v>
      </c>
      <c r="K54" s="5" t="s">
        <v>106</v>
      </c>
      <c r="L54" s="5" t="s">
        <v>107</v>
      </c>
      <c r="M54" s="5" t="s">
        <v>108</v>
      </c>
      <c r="N54" s="5" t="s">
        <v>611</v>
      </c>
      <c r="O54" s="5" t="s">
        <v>612</v>
      </c>
      <c r="P54" s="5" t="s">
        <v>534</v>
      </c>
      <c r="Q54" s="5" t="s">
        <v>613</v>
      </c>
      <c r="R54" s="5" t="s">
        <v>420</v>
      </c>
      <c r="S54" s="5" t="s">
        <v>114</v>
      </c>
      <c r="T54" s="5" t="s">
        <v>614</v>
      </c>
      <c r="U54" s="6" t="s">
        <v>615</v>
      </c>
    </row>
    <row r="55" spans="1:21" ht="69">
      <c r="A55" s="5" t="s">
        <v>616</v>
      </c>
      <c r="B55" s="5" t="s">
        <v>380</v>
      </c>
      <c r="C55" s="5" t="s">
        <v>381</v>
      </c>
      <c r="D55" s="5" t="s">
        <v>108</v>
      </c>
      <c r="E55" s="5" t="s">
        <v>443</v>
      </c>
      <c r="F55" s="5" t="s">
        <v>482</v>
      </c>
      <c r="G55" s="5" t="s">
        <v>617</v>
      </c>
      <c r="H55" s="5" t="s">
        <v>618</v>
      </c>
      <c r="I55" s="5" t="s">
        <v>619</v>
      </c>
      <c r="J55" s="5" t="s">
        <v>123</v>
      </c>
      <c r="K55" s="5" t="s">
        <v>106</v>
      </c>
      <c r="L55" s="5" t="s">
        <v>107</v>
      </c>
      <c r="M55" s="5" t="s">
        <v>108</v>
      </c>
      <c r="N55" s="5" t="s">
        <v>620</v>
      </c>
      <c r="O55" s="5" t="s">
        <v>621</v>
      </c>
      <c r="P55" s="5" t="s">
        <v>418</v>
      </c>
      <c r="Q55" s="5" t="s">
        <v>622</v>
      </c>
      <c r="R55" s="5" t="s">
        <v>391</v>
      </c>
      <c r="S55" s="5" t="s">
        <v>114</v>
      </c>
      <c r="T55" s="5" t="s">
        <v>623</v>
      </c>
      <c r="U55" s="6" t="s">
        <v>624</v>
      </c>
    </row>
    <row r="56" spans="1:21" ht="55.2">
      <c r="A56" s="2" t="s">
        <v>625</v>
      </c>
      <c r="B56" s="2" t="s">
        <v>380</v>
      </c>
      <c r="C56" s="2" t="s">
        <v>381</v>
      </c>
      <c r="D56" s="2" t="s">
        <v>108</v>
      </c>
      <c r="E56" s="2" t="s">
        <v>443</v>
      </c>
      <c r="F56" s="2" t="s">
        <v>119</v>
      </c>
      <c r="G56" s="2" t="s">
        <v>626</v>
      </c>
      <c r="H56" s="2" t="s">
        <v>627</v>
      </c>
      <c r="I56" s="2" t="s">
        <v>628</v>
      </c>
      <c r="J56" s="2" t="s">
        <v>105</v>
      </c>
      <c r="K56" s="2" t="s">
        <v>106</v>
      </c>
      <c r="L56" s="2" t="s">
        <v>107</v>
      </c>
      <c r="M56" s="2" t="s">
        <v>108</v>
      </c>
      <c r="N56" s="2" t="s">
        <v>629</v>
      </c>
      <c r="O56" s="2" t="s">
        <v>630</v>
      </c>
      <c r="P56" s="2" t="s">
        <v>418</v>
      </c>
      <c r="Q56" s="2" t="s">
        <v>631</v>
      </c>
      <c r="R56" s="2" t="s">
        <v>420</v>
      </c>
      <c r="S56" s="2" t="s">
        <v>114</v>
      </c>
      <c r="T56" s="2" t="s">
        <v>632</v>
      </c>
      <c r="U56" s="3" t="s">
        <v>633</v>
      </c>
    </row>
  </sheetData>
  <conditionalFormatting sqref="A2:U56">
    <cfRule type="expression" dxfId="5" priority="1">
      <formula>D2="Yes"</formula>
    </cfRule>
  </conditionalFormatting>
  <dataValidations count="3">
    <dataValidation type="list" sqref="B2:B56" xr:uid="{00000000-0002-0000-0100-000000000000}">
      <formula1>"Core,Complementary"</formula1>
    </dataValidation>
    <dataValidation type="list" sqref="C2:C56" xr:uid="{00000000-0002-0000-0100-000001000000}">
      <formula1>"Exhaustive,Directed"</formula1>
    </dataValidation>
    <dataValidation type="list" sqref="D2:D56 M2:M56" xr:uid="{00000000-0002-0000-0100-000002000000}">
      <formula1>"Yes,No"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31"/>
  <sheetViews>
    <sheetView workbookViewId="0"/>
  </sheetViews>
  <sheetFormatPr baseColWidth="10" defaultColWidth="8.796875" defaultRowHeight="13.8"/>
  <cols>
    <col min="1" max="2" width="8" customWidth="1"/>
    <col min="3" max="3" width="28" customWidth="1"/>
    <col min="4" max="4" width="26" customWidth="1"/>
    <col min="5" max="5" width="42" customWidth="1"/>
    <col min="6" max="6" width="9" customWidth="1"/>
    <col min="7" max="8" width="16" customWidth="1"/>
    <col min="9" max="9" width="28" customWidth="1"/>
    <col min="10" max="10" width="38" customWidth="1"/>
    <col min="11" max="11" width="28" customWidth="1"/>
    <col min="12" max="12" width="34" customWidth="1"/>
    <col min="13" max="14" width="35" customWidth="1"/>
    <col min="15" max="15" width="24" customWidth="1"/>
    <col min="16" max="17" width="36" customWidth="1"/>
    <col min="18" max="19" width="24" customWidth="1"/>
    <col min="20" max="20" width="22" customWidth="1"/>
    <col min="21" max="21" width="34" customWidth="1"/>
    <col min="22" max="22" width="28" customWidth="1"/>
    <col min="23" max="23" width="30" customWidth="1"/>
    <col min="24" max="24" width="32" customWidth="1"/>
    <col min="25" max="25" width="22" customWidth="1"/>
    <col min="26" max="26" width="34" customWidth="1"/>
    <col min="27" max="27" width="20" customWidth="1"/>
    <col min="28" max="28" width="18" customWidth="1"/>
    <col min="29" max="29" width="22" customWidth="1"/>
    <col min="30" max="30" width="32" customWidth="1"/>
    <col min="31" max="31" width="22" customWidth="1"/>
    <col min="32" max="32" width="18" customWidth="1"/>
    <col min="33" max="33" width="28" customWidth="1"/>
    <col min="34" max="34" width="24" customWidth="1"/>
    <col min="35" max="35" width="12" customWidth="1"/>
    <col min="36" max="36" width="18" customWidth="1"/>
    <col min="37" max="37" width="20" customWidth="1"/>
    <col min="38" max="39" width="26" customWidth="1"/>
    <col min="40" max="41" width="24" customWidth="1"/>
    <col min="42" max="42" width="28" customWidth="1"/>
    <col min="43" max="43" width="20" customWidth="1"/>
    <col min="44" max="44" width="24" customWidth="1"/>
    <col min="45" max="45" width="32" customWidth="1"/>
    <col min="46" max="46" width="20" customWidth="1"/>
    <col min="47" max="47" width="24" customWidth="1"/>
    <col min="48" max="48" width="28" customWidth="1"/>
    <col min="49" max="49" width="30" customWidth="1"/>
    <col min="50" max="52" width="18" customWidth="1"/>
    <col min="53" max="54" width="22" customWidth="1"/>
    <col min="55" max="55" width="28" customWidth="1"/>
    <col min="56" max="56" width="30" customWidth="1"/>
    <col min="57" max="57" width="35" customWidth="1"/>
    <col min="58" max="58" width="30" customWidth="1"/>
    <col min="59" max="59" width="14" customWidth="1"/>
    <col min="60" max="60" width="26" customWidth="1"/>
    <col min="61" max="61" width="18" customWidth="1"/>
    <col min="62" max="62" width="45" customWidth="1"/>
    <col min="63" max="63" width="60" customWidth="1"/>
  </cols>
  <sheetData>
    <row r="1" spans="1:63">
      <c r="A1" s="15" t="s">
        <v>634</v>
      </c>
      <c r="B1" s="15"/>
      <c r="C1" s="15"/>
      <c r="D1" s="15"/>
      <c r="E1" s="15"/>
      <c r="F1" s="15"/>
      <c r="G1" s="15"/>
      <c r="H1" s="15"/>
      <c r="I1" s="15"/>
      <c r="J1" s="15"/>
      <c r="K1" s="15" t="s">
        <v>635</v>
      </c>
      <c r="L1" s="15"/>
      <c r="M1" s="15"/>
      <c r="N1" s="15"/>
      <c r="O1" s="15"/>
      <c r="P1" s="15"/>
      <c r="Q1" s="15"/>
      <c r="R1" s="15" t="s">
        <v>636</v>
      </c>
      <c r="S1" s="15"/>
      <c r="T1" s="15"/>
      <c r="U1" s="15"/>
      <c r="V1" s="15"/>
      <c r="W1" s="15"/>
      <c r="X1" s="15"/>
      <c r="Y1" s="15" t="s">
        <v>637</v>
      </c>
      <c r="Z1" s="15"/>
      <c r="AA1" s="15"/>
      <c r="AB1" s="15"/>
      <c r="AC1" s="15"/>
      <c r="AD1" s="15" t="s">
        <v>638</v>
      </c>
      <c r="AE1" s="15"/>
      <c r="AF1" s="15" t="s">
        <v>639</v>
      </c>
      <c r="AG1" s="15"/>
      <c r="AH1" s="15"/>
      <c r="AI1" s="15"/>
      <c r="AJ1" s="15"/>
      <c r="AK1" s="15"/>
      <c r="AL1" s="15"/>
      <c r="AM1" s="15"/>
      <c r="AN1" s="15" t="s">
        <v>640</v>
      </c>
      <c r="AO1" s="15"/>
      <c r="AP1" s="15"/>
      <c r="AQ1" s="15"/>
      <c r="AR1" s="15" t="s">
        <v>641</v>
      </c>
      <c r="AS1" s="15"/>
      <c r="AT1" s="15"/>
      <c r="AU1" s="15"/>
      <c r="AV1" s="15"/>
      <c r="AW1" s="15" t="s">
        <v>642</v>
      </c>
      <c r="AX1" s="15"/>
      <c r="AY1" s="15"/>
      <c r="AZ1" s="15"/>
      <c r="BA1" s="15"/>
      <c r="BB1" s="15"/>
      <c r="BC1" s="15"/>
      <c r="BD1" s="15" t="s">
        <v>643</v>
      </c>
      <c r="BE1" s="15"/>
      <c r="BF1" s="15"/>
      <c r="BG1" s="15"/>
      <c r="BH1" s="15"/>
      <c r="BI1" s="15"/>
      <c r="BJ1" s="15"/>
      <c r="BK1" s="4" t="s">
        <v>644</v>
      </c>
    </row>
    <row r="2" spans="1:63" ht="27.6">
      <c r="A2" s="1" t="s">
        <v>76</v>
      </c>
      <c r="B2" s="1" t="s">
        <v>79</v>
      </c>
      <c r="C2" s="1" t="s">
        <v>80</v>
      </c>
      <c r="D2" s="1" t="s">
        <v>645</v>
      </c>
      <c r="E2" s="1" t="s">
        <v>83</v>
      </c>
      <c r="F2" s="1" t="s">
        <v>81</v>
      </c>
      <c r="G2" s="1" t="s">
        <v>85</v>
      </c>
      <c r="H2" s="1" t="s">
        <v>86</v>
      </c>
      <c r="I2" s="1" t="s">
        <v>646</v>
      </c>
      <c r="J2" s="1" t="s">
        <v>91</v>
      </c>
      <c r="K2" s="1" t="s">
        <v>647</v>
      </c>
      <c r="L2" s="1" t="s">
        <v>648</v>
      </c>
      <c r="M2" s="1" t="s">
        <v>649</v>
      </c>
      <c r="N2" s="1" t="s">
        <v>650</v>
      </c>
      <c r="O2" s="1" t="s">
        <v>651</v>
      </c>
      <c r="P2" s="1" t="s">
        <v>652</v>
      </c>
      <c r="Q2" s="1" t="s">
        <v>653</v>
      </c>
      <c r="R2" s="1" t="s">
        <v>654</v>
      </c>
      <c r="S2" s="1" t="s">
        <v>655</v>
      </c>
      <c r="T2" s="1" t="s">
        <v>656</v>
      </c>
      <c r="U2" s="1" t="s">
        <v>657</v>
      </c>
      <c r="V2" s="1" t="s">
        <v>658</v>
      </c>
      <c r="W2" s="1" t="s">
        <v>659</v>
      </c>
      <c r="X2" s="1" t="s">
        <v>660</v>
      </c>
      <c r="Y2" s="1" t="s">
        <v>661</v>
      </c>
      <c r="Z2" s="1" t="s">
        <v>662</v>
      </c>
      <c r="AA2" s="1" t="s">
        <v>663</v>
      </c>
      <c r="AB2" s="1" t="s">
        <v>664</v>
      </c>
      <c r="AC2" s="1" t="s">
        <v>665</v>
      </c>
      <c r="AD2" s="1" t="s">
        <v>666</v>
      </c>
      <c r="AE2" s="1" t="s">
        <v>667</v>
      </c>
      <c r="AF2" s="1" t="s">
        <v>668</v>
      </c>
      <c r="AG2" s="1" t="s">
        <v>669</v>
      </c>
      <c r="AH2" s="1" t="s">
        <v>670</v>
      </c>
      <c r="AI2" s="1" t="s">
        <v>671</v>
      </c>
      <c r="AJ2" s="1" t="s">
        <v>672</v>
      </c>
      <c r="AK2" s="1" t="s">
        <v>673</v>
      </c>
      <c r="AL2" s="1" t="s">
        <v>674</v>
      </c>
      <c r="AM2" s="1" t="s">
        <v>675</v>
      </c>
      <c r="AN2" s="1" t="s">
        <v>676</v>
      </c>
      <c r="AO2" s="1" t="s">
        <v>677</v>
      </c>
      <c r="AP2" s="1" t="s">
        <v>678</v>
      </c>
      <c r="AQ2" s="1" t="s">
        <v>679</v>
      </c>
      <c r="AR2" s="1" t="s">
        <v>680</v>
      </c>
      <c r="AS2" s="1" t="s">
        <v>681</v>
      </c>
      <c r="AT2" s="1" t="s">
        <v>682</v>
      </c>
      <c r="AU2" s="1" t="s">
        <v>683</v>
      </c>
      <c r="AV2" s="1" t="s">
        <v>684</v>
      </c>
      <c r="AW2" s="1" t="s">
        <v>685</v>
      </c>
      <c r="AX2" s="1" t="s">
        <v>686</v>
      </c>
      <c r="AY2" s="1" t="s">
        <v>687</v>
      </c>
      <c r="AZ2" s="1" t="s">
        <v>688</v>
      </c>
      <c r="BA2" s="1" t="s">
        <v>689</v>
      </c>
      <c r="BB2" s="1" t="s">
        <v>690</v>
      </c>
      <c r="BC2" s="1" t="s">
        <v>691</v>
      </c>
      <c r="BD2" s="1" t="s">
        <v>692</v>
      </c>
      <c r="BE2" s="1" t="s">
        <v>693</v>
      </c>
      <c r="BF2" s="1" t="s">
        <v>694</v>
      </c>
      <c r="BG2" s="1" t="s">
        <v>695</v>
      </c>
      <c r="BH2" s="1" t="s">
        <v>696</v>
      </c>
      <c r="BI2" s="1" t="s">
        <v>697</v>
      </c>
      <c r="BJ2" s="1" t="s">
        <v>698</v>
      </c>
      <c r="BK2" s="1" t="s">
        <v>699</v>
      </c>
    </row>
    <row r="3" spans="1:63" ht="193.2">
      <c r="A3" s="5" t="s">
        <v>96</v>
      </c>
      <c r="B3" s="5" t="s">
        <v>99</v>
      </c>
      <c r="C3" s="5" t="s">
        <v>700</v>
      </c>
      <c r="D3" s="5" t="s">
        <v>701</v>
      </c>
      <c r="E3" s="5" t="s">
        <v>103</v>
      </c>
      <c r="F3" s="5" t="s">
        <v>101</v>
      </c>
      <c r="G3" s="5" t="s">
        <v>105</v>
      </c>
      <c r="H3" s="5" t="s">
        <v>106</v>
      </c>
      <c r="I3" s="5" t="s">
        <v>109</v>
      </c>
      <c r="J3" s="5" t="s">
        <v>111</v>
      </c>
      <c r="K3" s="5" t="s">
        <v>702</v>
      </c>
      <c r="L3" s="5" t="s">
        <v>703</v>
      </c>
      <c r="M3" s="5" t="s">
        <v>704</v>
      </c>
      <c r="N3" s="5" t="s">
        <v>705</v>
      </c>
      <c r="O3" s="5" t="s">
        <v>706</v>
      </c>
      <c r="P3" s="5" t="s">
        <v>707</v>
      </c>
      <c r="Q3" s="5" t="s">
        <v>708</v>
      </c>
      <c r="R3" s="5" t="s">
        <v>709</v>
      </c>
      <c r="S3" s="5" t="s">
        <v>710</v>
      </c>
      <c r="T3" s="5" t="s">
        <v>711</v>
      </c>
      <c r="U3" s="5" t="s">
        <v>712</v>
      </c>
      <c r="V3" s="5" t="s">
        <v>713</v>
      </c>
      <c r="W3" s="5" t="s">
        <v>714</v>
      </c>
      <c r="X3" s="5" t="s">
        <v>715</v>
      </c>
      <c r="Y3" s="5" t="s">
        <v>716</v>
      </c>
      <c r="Z3" s="5" t="s">
        <v>717</v>
      </c>
      <c r="AA3" s="5" t="s">
        <v>718</v>
      </c>
      <c r="AB3" s="5" t="s">
        <v>719</v>
      </c>
      <c r="AC3" s="5" t="s">
        <v>720</v>
      </c>
      <c r="AD3" s="5" t="s">
        <v>721</v>
      </c>
      <c r="AE3" s="5" t="s">
        <v>722</v>
      </c>
      <c r="AF3" s="5" t="s">
        <v>723</v>
      </c>
      <c r="AG3" s="5" t="s">
        <v>724</v>
      </c>
      <c r="AH3" s="5" t="s">
        <v>725</v>
      </c>
      <c r="AI3" s="5" t="s">
        <v>726</v>
      </c>
      <c r="AJ3" s="5" t="s">
        <v>727</v>
      </c>
      <c r="AK3" s="5" t="s">
        <v>728</v>
      </c>
      <c r="AL3" s="5" t="s">
        <v>729</v>
      </c>
      <c r="AM3" s="5" t="s">
        <v>730</v>
      </c>
      <c r="AN3" s="5" t="s">
        <v>731</v>
      </c>
      <c r="AO3" s="5" t="s">
        <v>726</v>
      </c>
      <c r="AP3" s="5" t="s">
        <v>732</v>
      </c>
      <c r="AQ3" s="5" t="s">
        <v>733</v>
      </c>
      <c r="AR3" s="5" t="s">
        <v>734</v>
      </c>
      <c r="AS3" s="5" t="s">
        <v>735</v>
      </c>
      <c r="AT3" s="5" t="s">
        <v>736</v>
      </c>
      <c r="AU3" s="5" t="s">
        <v>726</v>
      </c>
      <c r="AV3" s="5" t="s">
        <v>737</v>
      </c>
      <c r="AW3" s="5" t="s">
        <v>738</v>
      </c>
      <c r="AX3" s="5" t="s">
        <v>739</v>
      </c>
      <c r="AY3" s="5" t="s">
        <v>740</v>
      </c>
      <c r="AZ3" s="5" t="s">
        <v>741</v>
      </c>
      <c r="BA3" s="5" t="s">
        <v>742</v>
      </c>
      <c r="BB3" s="5" t="s">
        <v>726</v>
      </c>
      <c r="BC3" s="5" t="s">
        <v>743</v>
      </c>
      <c r="BD3" s="5" t="s">
        <v>744</v>
      </c>
      <c r="BE3" s="5" t="s">
        <v>745</v>
      </c>
      <c r="BF3" s="5" t="s">
        <v>746</v>
      </c>
      <c r="BG3" s="5" t="s">
        <v>747</v>
      </c>
      <c r="BH3" s="5" t="s">
        <v>748</v>
      </c>
      <c r="BI3" s="5" t="s">
        <v>749</v>
      </c>
      <c r="BJ3" s="5" t="s">
        <v>115</v>
      </c>
      <c r="BK3" s="6" t="s">
        <v>750</v>
      </c>
    </row>
    <row r="4" spans="1:63" ht="317.39999999999998">
      <c r="A4" s="5" t="s">
        <v>117</v>
      </c>
      <c r="B4" s="5" t="s">
        <v>108</v>
      </c>
      <c r="C4" s="5" t="s">
        <v>751</v>
      </c>
      <c r="D4" s="5" t="s">
        <v>701</v>
      </c>
      <c r="E4" s="5" t="s">
        <v>121</v>
      </c>
      <c r="F4" s="5" t="s">
        <v>119</v>
      </c>
      <c r="G4" s="5" t="s">
        <v>123</v>
      </c>
      <c r="H4" s="5" t="s">
        <v>106</v>
      </c>
      <c r="I4" s="5" t="s">
        <v>124</v>
      </c>
      <c r="J4" s="5" t="s">
        <v>126</v>
      </c>
      <c r="K4" s="5" t="s">
        <v>752</v>
      </c>
      <c r="L4" s="5" t="s">
        <v>753</v>
      </c>
      <c r="M4" s="5" t="s">
        <v>754</v>
      </c>
      <c r="N4" s="5" t="s">
        <v>755</v>
      </c>
      <c r="O4" s="5" t="s">
        <v>756</v>
      </c>
      <c r="P4" s="5" t="s">
        <v>757</v>
      </c>
      <c r="Q4" s="5" t="s">
        <v>758</v>
      </c>
      <c r="R4" s="5" t="s">
        <v>759</v>
      </c>
      <c r="S4" s="5" t="s">
        <v>760</v>
      </c>
      <c r="T4" s="5" t="s">
        <v>761</v>
      </c>
      <c r="U4" s="5" t="s">
        <v>762</v>
      </c>
      <c r="V4" s="5" t="s">
        <v>763</v>
      </c>
      <c r="W4" s="5" t="s">
        <v>764</v>
      </c>
      <c r="X4" s="5" t="s">
        <v>765</v>
      </c>
      <c r="Y4" s="5" t="s">
        <v>766</v>
      </c>
      <c r="Z4" s="5" t="s">
        <v>767</v>
      </c>
      <c r="AA4" s="5" t="s">
        <v>768</v>
      </c>
      <c r="AB4" s="5" t="s">
        <v>769</v>
      </c>
      <c r="AC4" s="5" t="s">
        <v>770</v>
      </c>
      <c r="AD4" s="5" t="s">
        <v>771</v>
      </c>
      <c r="AE4" s="5" t="s">
        <v>772</v>
      </c>
      <c r="AF4" s="5" t="s">
        <v>773</v>
      </c>
      <c r="AG4" s="5" t="s">
        <v>774</v>
      </c>
      <c r="AH4" s="5" t="s">
        <v>775</v>
      </c>
      <c r="AI4" s="5" t="s">
        <v>776</v>
      </c>
      <c r="AJ4" s="5" t="s">
        <v>777</v>
      </c>
      <c r="AK4" s="5" t="s">
        <v>778</v>
      </c>
      <c r="AL4" s="5" t="s">
        <v>779</v>
      </c>
      <c r="AM4" s="5" t="s">
        <v>780</v>
      </c>
      <c r="AN4" s="5" t="s">
        <v>781</v>
      </c>
      <c r="AO4" s="5" t="s">
        <v>782</v>
      </c>
      <c r="AP4" s="5" t="s">
        <v>783</v>
      </c>
      <c r="AQ4" s="5" t="s">
        <v>784</v>
      </c>
      <c r="AR4" s="5" t="s">
        <v>785</v>
      </c>
      <c r="AS4" s="5" t="s">
        <v>786</v>
      </c>
      <c r="AT4" s="5" t="s">
        <v>787</v>
      </c>
      <c r="AU4" s="5" t="s">
        <v>788</v>
      </c>
      <c r="AV4" s="5" t="s">
        <v>789</v>
      </c>
      <c r="AW4" s="5" t="s">
        <v>790</v>
      </c>
      <c r="AX4" s="5" t="s">
        <v>791</v>
      </c>
      <c r="AY4" s="5" t="s">
        <v>726</v>
      </c>
      <c r="AZ4" s="5" t="s">
        <v>792</v>
      </c>
      <c r="BA4" s="5" t="s">
        <v>793</v>
      </c>
      <c r="BB4" s="5" t="s">
        <v>726</v>
      </c>
      <c r="BC4" s="5" t="s">
        <v>794</v>
      </c>
      <c r="BD4" s="5" t="s">
        <v>795</v>
      </c>
      <c r="BE4" s="5" t="s">
        <v>796</v>
      </c>
      <c r="BF4" s="5" t="s">
        <v>797</v>
      </c>
      <c r="BG4" s="5" t="s">
        <v>747</v>
      </c>
      <c r="BH4" s="5" t="s">
        <v>798</v>
      </c>
      <c r="BI4" s="5" t="s">
        <v>799</v>
      </c>
      <c r="BJ4" s="5" t="s">
        <v>127</v>
      </c>
      <c r="BK4" s="6" t="s">
        <v>800</v>
      </c>
    </row>
    <row r="5" spans="1:63" ht="317.39999999999998">
      <c r="A5" s="5" t="s">
        <v>129</v>
      </c>
      <c r="B5" s="5" t="s">
        <v>108</v>
      </c>
      <c r="C5" s="5" t="s">
        <v>751</v>
      </c>
      <c r="D5" s="5" t="s">
        <v>801</v>
      </c>
      <c r="E5" s="5" t="s">
        <v>131</v>
      </c>
      <c r="F5" s="5" t="s">
        <v>101</v>
      </c>
      <c r="G5" s="5" t="s">
        <v>105</v>
      </c>
      <c r="H5" s="5" t="s">
        <v>106</v>
      </c>
      <c r="I5" s="5" t="s">
        <v>133</v>
      </c>
      <c r="J5" s="5" t="s">
        <v>135</v>
      </c>
      <c r="K5" s="5" t="s">
        <v>802</v>
      </c>
      <c r="L5" s="5" t="s">
        <v>803</v>
      </c>
      <c r="M5" s="5" t="s">
        <v>804</v>
      </c>
      <c r="N5" s="5" t="s">
        <v>805</v>
      </c>
      <c r="O5" s="5" t="s">
        <v>806</v>
      </c>
      <c r="P5" s="5" t="s">
        <v>807</v>
      </c>
      <c r="Q5" s="5" t="s">
        <v>808</v>
      </c>
      <c r="R5" s="5" t="s">
        <v>809</v>
      </c>
      <c r="S5" s="5" t="s">
        <v>810</v>
      </c>
      <c r="T5" s="5" t="s">
        <v>811</v>
      </c>
      <c r="U5" s="5" t="s">
        <v>812</v>
      </c>
      <c r="V5" s="5" t="s">
        <v>813</v>
      </c>
      <c r="W5" s="5" t="s">
        <v>814</v>
      </c>
      <c r="X5" s="5" t="s">
        <v>815</v>
      </c>
      <c r="Y5" s="5" t="s">
        <v>816</v>
      </c>
      <c r="Z5" s="5" t="s">
        <v>817</v>
      </c>
      <c r="AA5" s="5" t="s">
        <v>818</v>
      </c>
      <c r="AB5" s="5" t="s">
        <v>819</v>
      </c>
      <c r="AC5" s="5" t="s">
        <v>820</v>
      </c>
      <c r="AD5" s="5" t="s">
        <v>821</v>
      </c>
      <c r="AE5" s="5" t="s">
        <v>822</v>
      </c>
      <c r="AF5" s="5" t="s">
        <v>723</v>
      </c>
      <c r="AG5" s="5" t="s">
        <v>823</v>
      </c>
      <c r="AH5" s="5" t="s">
        <v>824</v>
      </c>
      <c r="AI5" s="5" t="s">
        <v>825</v>
      </c>
      <c r="AJ5" s="5" t="s">
        <v>826</v>
      </c>
      <c r="AK5" s="5" t="s">
        <v>827</v>
      </c>
      <c r="AL5" s="5" t="s">
        <v>828</v>
      </c>
      <c r="AM5" s="5" t="s">
        <v>829</v>
      </c>
      <c r="AN5" s="5" t="s">
        <v>830</v>
      </c>
      <c r="AO5" s="5" t="s">
        <v>831</v>
      </c>
      <c r="AP5" s="5" t="s">
        <v>832</v>
      </c>
      <c r="AQ5" s="5" t="s">
        <v>833</v>
      </c>
      <c r="AR5" s="5" t="s">
        <v>734</v>
      </c>
      <c r="AS5" s="5" t="s">
        <v>834</v>
      </c>
      <c r="AT5" s="5" t="s">
        <v>835</v>
      </c>
      <c r="AU5" s="5" t="s">
        <v>836</v>
      </c>
      <c r="AV5" s="5" t="s">
        <v>837</v>
      </c>
      <c r="AW5" s="5" t="s">
        <v>838</v>
      </c>
      <c r="AX5" s="5" t="s">
        <v>839</v>
      </c>
      <c r="AY5" s="5" t="s">
        <v>726</v>
      </c>
      <c r="AZ5" s="5" t="s">
        <v>840</v>
      </c>
      <c r="BA5" s="5" t="s">
        <v>841</v>
      </c>
      <c r="BB5" s="5" t="s">
        <v>726</v>
      </c>
      <c r="BC5" s="5" t="s">
        <v>842</v>
      </c>
      <c r="BD5" s="5" t="s">
        <v>843</v>
      </c>
      <c r="BE5" s="5" t="s">
        <v>844</v>
      </c>
      <c r="BF5" s="5" t="s">
        <v>845</v>
      </c>
      <c r="BG5" s="5" t="s">
        <v>747</v>
      </c>
      <c r="BH5" s="5" t="s">
        <v>846</v>
      </c>
      <c r="BI5" s="5" t="s">
        <v>799</v>
      </c>
      <c r="BJ5" s="5" t="s">
        <v>136</v>
      </c>
      <c r="BK5" s="6" t="s">
        <v>847</v>
      </c>
    </row>
    <row r="6" spans="1:63" ht="409.6">
      <c r="A6" s="5" t="s">
        <v>138</v>
      </c>
      <c r="B6" s="5" t="s">
        <v>108</v>
      </c>
      <c r="C6" s="5" t="s">
        <v>751</v>
      </c>
      <c r="D6" s="5" t="s">
        <v>848</v>
      </c>
      <c r="E6" s="5" t="s">
        <v>140</v>
      </c>
      <c r="F6" s="5" t="s">
        <v>101</v>
      </c>
      <c r="G6" s="5" t="s">
        <v>105</v>
      </c>
      <c r="H6" s="5" t="s">
        <v>106</v>
      </c>
      <c r="I6" s="5" t="s">
        <v>142</v>
      </c>
      <c r="J6" s="5" t="s">
        <v>144</v>
      </c>
      <c r="K6" s="5" t="s">
        <v>849</v>
      </c>
      <c r="L6" s="5" t="s">
        <v>850</v>
      </c>
      <c r="M6" s="5" t="s">
        <v>851</v>
      </c>
      <c r="N6" s="5" t="s">
        <v>852</v>
      </c>
      <c r="O6" s="5" t="s">
        <v>853</v>
      </c>
      <c r="P6" s="5" t="s">
        <v>854</v>
      </c>
      <c r="Q6" s="5" t="s">
        <v>855</v>
      </c>
      <c r="R6" s="5" t="s">
        <v>856</v>
      </c>
      <c r="S6" s="5" t="s">
        <v>857</v>
      </c>
      <c r="T6" s="5" t="s">
        <v>858</v>
      </c>
      <c r="U6" s="5" t="s">
        <v>726</v>
      </c>
      <c r="V6" s="5" t="s">
        <v>726</v>
      </c>
      <c r="W6" s="5" t="s">
        <v>859</v>
      </c>
      <c r="X6" s="5" t="s">
        <v>726</v>
      </c>
      <c r="Y6" s="5" t="s">
        <v>860</v>
      </c>
      <c r="Z6" s="5" t="s">
        <v>726</v>
      </c>
      <c r="AA6" s="5" t="s">
        <v>726</v>
      </c>
      <c r="AB6" s="5" t="s">
        <v>861</v>
      </c>
      <c r="AC6" s="5" t="s">
        <v>862</v>
      </c>
      <c r="AD6" s="5" t="s">
        <v>863</v>
      </c>
      <c r="AE6" s="5" t="s">
        <v>864</v>
      </c>
      <c r="AF6" s="5" t="s">
        <v>865</v>
      </c>
      <c r="AG6" s="5" t="s">
        <v>726</v>
      </c>
      <c r="AH6" s="5" t="s">
        <v>866</v>
      </c>
      <c r="AI6" s="5" t="s">
        <v>726</v>
      </c>
      <c r="AJ6" s="5" t="s">
        <v>726</v>
      </c>
      <c r="AK6" s="5" t="s">
        <v>726</v>
      </c>
      <c r="AL6" s="5" t="s">
        <v>867</v>
      </c>
      <c r="AM6" s="5" t="s">
        <v>868</v>
      </c>
      <c r="AN6" s="5" t="s">
        <v>726</v>
      </c>
      <c r="AO6" s="5" t="s">
        <v>726</v>
      </c>
      <c r="AP6" s="5" t="s">
        <v>726</v>
      </c>
      <c r="AQ6" s="5" t="s">
        <v>726</v>
      </c>
      <c r="AR6" s="5" t="s">
        <v>869</v>
      </c>
      <c r="AS6" s="5" t="s">
        <v>870</v>
      </c>
      <c r="AT6" s="5" t="s">
        <v>871</v>
      </c>
      <c r="AU6" s="5" t="s">
        <v>726</v>
      </c>
      <c r="AV6" s="5" t="s">
        <v>872</v>
      </c>
      <c r="AW6" s="5" t="s">
        <v>873</v>
      </c>
      <c r="AX6" s="5" t="s">
        <v>874</v>
      </c>
      <c r="AY6" s="5" t="s">
        <v>875</v>
      </c>
      <c r="AZ6" s="5" t="s">
        <v>876</v>
      </c>
      <c r="BA6" s="5" t="s">
        <v>726</v>
      </c>
      <c r="BB6" s="5" t="s">
        <v>877</v>
      </c>
      <c r="BC6" s="5" t="s">
        <v>878</v>
      </c>
      <c r="BD6" s="5" t="s">
        <v>879</v>
      </c>
      <c r="BE6" s="5" t="s">
        <v>880</v>
      </c>
      <c r="BF6" s="5" t="s">
        <v>881</v>
      </c>
      <c r="BG6" s="5" t="s">
        <v>882</v>
      </c>
      <c r="BH6" s="5" t="s">
        <v>883</v>
      </c>
      <c r="BI6" s="5" t="s">
        <v>799</v>
      </c>
      <c r="BJ6" s="5" t="s">
        <v>145</v>
      </c>
      <c r="BK6" s="6" t="s">
        <v>884</v>
      </c>
    </row>
    <row r="7" spans="1:63" ht="409.6">
      <c r="A7" s="5" t="s">
        <v>147</v>
      </c>
      <c r="B7" s="5" t="s">
        <v>108</v>
      </c>
      <c r="C7" s="5" t="s">
        <v>751</v>
      </c>
      <c r="D7" s="5" t="s">
        <v>885</v>
      </c>
      <c r="E7" s="5" t="s">
        <v>149</v>
      </c>
      <c r="F7" s="5" t="s">
        <v>101</v>
      </c>
      <c r="G7" s="5" t="s">
        <v>105</v>
      </c>
      <c r="H7" s="5" t="s">
        <v>106</v>
      </c>
      <c r="I7" s="5" t="s">
        <v>151</v>
      </c>
      <c r="J7" s="5" t="s">
        <v>153</v>
      </c>
      <c r="K7" s="5" t="s">
        <v>886</v>
      </c>
      <c r="L7" s="5" t="s">
        <v>887</v>
      </c>
      <c r="M7" s="5" t="s">
        <v>888</v>
      </c>
      <c r="N7" s="5" t="s">
        <v>889</v>
      </c>
      <c r="O7" s="5" t="s">
        <v>890</v>
      </c>
      <c r="P7" s="5" t="s">
        <v>891</v>
      </c>
      <c r="Q7" s="5" t="s">
        <v>892</v>
      </c>
      <c r="R7" s="5" t="s">
        <v>893</v>
      </c>
      <c r="S7" s="5" t="s">
        <v>894</v>
      </c>
      <c r="T7" s="5" t="s">
        <v>895</v>
      </c>
      <c r="U7" s="5" t="s">
        <v>896</v>
      </c>
      <c r="V7" s="5" t="s">
        <v>897</v>
      </c>
      <c r="W7" s="5" t="s">
        <v>898</v>
      </c>
      <c r="X7" s="5" t="s">
        <v>899</v>
      </c>
      <c r="Y7" s="5" t="s">
        <v>900</v>
      </c>
      <c r="Z7" s="5" t="s">
        <v>901</v>
      </c>
      <c r="AA7" s="5" t="s">
        <v>902</v>
      </c>
      <c r="AB7" s="5" t="s">
        <v>903</v>
      </c>
      <c r="AC7" s="5" t="s">
        <v>904</v>
      </c>
      <c r="AD7" s="5" t="s">
        <v>905</v>
      </c>
      <c r="AE7" s="5" t="s">
        <v>906</v>
      </c>
      <c r="AF7" s="5" t="s">
        <v>907</v>
      </c>
      <c r="AG7" s="5" t="s">
        <v>908</v>
      </c>
      <c r="AH7" s="5" t="s">
        <v>909</v>
      </c>
      <c r="AI7" s="5" t="s">
        <v>910</v>
      </c>
      <c r="AJ7" s="5" t="s">
        <v>726</v>
      </c>
      <c r="AK7" s="5" t="s">
        <v>911</v>
      </c>
      <c r="AL7" s="5" t="s">
        <v>912</v>
      </c>
      <c r="AM7" s="5" t="s">
        <v>913</v>
      </c>
      <c r="AN7" s="5" t="s">
        <v>914</v>
      </c>
      <c r="AO7" s="5" t="s">
        <v>915</v>
      </c>
      <c r="AP7" s="5" t="s">
        <v>916</v>
      </c>
      <c r="AQ7" s="5" t="s">
        <v>917</v>
      </c>
      <c r="AR7" s="5" t="s">
        <v>918</v>
      </c>
      <c r="AS7" s="5" t="s">
        <v>919</v>
      </c>
      <c r="AT7" s="5" t="s">
        <v>920</v>
      </c>
      <c r="AU7" s="5" t="s">
        <v>921</v>
      </c>
      <c r="AV7" s="5" t="s">
        <v>922</v>
      </c>
      <c r="AW7" s="5" t="s">
        <v>923</v>
      </c>
      <c r="AX7" s="5" t="s">
        <v>924</v>
      </c>
      <c r="AY7" s="5" t="s">
        <v>925</v>
      </c>
      <c r="AZ7" s="5" t="s">
        <v>926</v>
      </c>
      <c r="BA7" s="5" t="s">
        <v>927</v>
      </c>
      <c r="BB7" s="5" t="s">
        <v>928</v>
      </c>
      <c r="BC7" s="5" t="s">
        <v>929</v>
      </c>
      <c r="BD7" s="5" t="s">
        <v>930</v>
      </c>
      <c r="BE7" s="5" t="s">
        <v>931</v>
      </c>
      <c r="BF7" s="5" t="s">
        <v>932</v>
      </c>
      <c r="BG7" s="5" t="s">
        <v>747</v>
      </c>
      <c r="BH7" s="5" t="s">
        <v>933</v>
      </c>
      <c r="BI7" s="5" t="s">
        <v>799</v>
      </c>
      <c r="BJ7" s="5" t="s">
        <v>154</v>
      </c>
      <c r="BK7" s="6" t="s">
        <v>934</v>
      </c>
    </row>
    <row r="8" spans="1:63" ht="372.6">
      <c r="A8" s="5" t="s">
        <v>156</v>
      </c>
      <c r="B8" s="5" t="s">
        <v>108</v>
      </c>
      <c r="C8" s="5" t="s">
        <v>751</v>
      </c>
      <c r="D8" s="5" t="s">
        <v>935</v>
      </c>
      <c r="E8" s="5" t="s">
        <v>158</v>
      </c>
      <c r="F8" s="5" t="s">
        <v>101</v>
      </c>
      <c r="G8" s="5" t="s">
        <v>123</v>
      </c>
      <c r="H8" s="5" t="s">
        <v>106</v>
      </c>
      <c r="I8" s="5" t="s">
        <v>160</v>
      </c>
      <c r="J8" s="5" t="s">
        <v>162</v>
      </c>
      <c r="K8" s="5" t="s">
        <v>936</v>
      </c>
      <c r="L8" s="5" t="s">
        <v>937</v>
      </c>
      <c r="M8" s="5" t="s">
        <v>938</v>
      </c>
      <c r="N8" s="5" t="s">
        <v>939</v>
      </c>
      <c r="O8" s="5" t="s">
        <v>940</v>
      </c>
      <c r="P8" s="5" t="s">
        <v>941</v>
      </c>
      <c r="Q8" s="5" t="s">
        <v>942</v>
      </c>
      <c r="R8" s="5" t="s">
        <v>943</v>
      </c>
      <c r="S8" s="5" t="s">
        <v>944</v>
      </c>
      <c r="T8" s="5" t="s">
        <v>945</v>
      </c>
      <c r="U8" s="5" t="s">
        <v>946</v>
      </c>
      <c r="V8" s="5" t="s">
        <v>947</v>
      </c>
      <c r="W8" s="5" t="s">
        <v>948</v>
      </c>
      <c r="X8" s="5" t="s">
        <v>949</v>
      </c>
      <c r="Y8" s="5" t="s">
        <v>950</v>
      </c>
      <c r="Z8" s="5" t="s">
        <v>951</v>
      </c>
      <c r="AA8" s="5" t="s">
        <v>952</v>
      </c>
      <c r="AB8" s="5" t="s">
        <v>953</v>
      </c>
      <c r="AC8" s="5" t="s">
        <v>770</v>
      </c>
      <c r="AD8" s="5" t="s">
        <v>954</v>
      </c>
      <c r="AE8" s="5" t="s">
        <v>955</v>
      </c>
      <c r="AF8" s="5" t="s">
        <v>956</v>
      </c>
      <c r="AG8" s="5" t="s">
        <v>957</v>
      </c>
      <c r="AH8" s="5" t="s">
        <v>958</v>
      </c>
      <c r="AI8" s="5" t="s">
        <v>959</v>
      </c>
      <c r="AJ8" s="5" t="s">
        <v>960</v>
      </c>
      <c r="AK8" s="5" t="s">
        <v>961</v>
      </c>
      <c r="AL8" s="5" t="s">
        <v>962</v>
      </c>
      <c r="AM8" s="5" t="s">
        <v>963</v>
      </c>
      <c r="AN8" s="5" t="s">
        <v>964</v>
      </c>
      <c r="AO8" s="5" t="s">
        <v>965</v>
      </c>
      <c r="AP8" s="5" t="s">
        <v>966</v>
      </c>
      <c r="AQ8" s="5" t="s">
        <v>967</v>
      </c>
      <c r="AR8" s="5" t="s">
        <v>734</v>
      </c>
      <c r="AS8" s="5" t="s">
        <v>968</v>
      </c>
      <c r="AT8" s="5" t="s">
        <v>969</v>
      </c>
      <c r="AU8" s="5" t="s">
        <v>726</v>
      </c>
      <c r="AV8" s="5" t="s">
        <v>970</v>
      </c>
      <c r="AW8" s="5" t="s">
        <v>971</v>
      </c>
      <c r="AX8" s="5" t="s">
        <v>972</v>
      </c>
      <c r="AY8" s="5" t="s">
        <v>973</v>
      </c>
      <c r="AZ8" s="5" t="s">
        <v>974</v>
      </c>
      <c r="BA8" s="5" t="s">
        <v>975</v>
      </c>
      <c r="BB8" s="5" t="s">
        <v>976</v>
      </c>
      <c r="BC8" s="5" t="s">
        <v>977</v>
      </c>
      <c r="BD8" s="5" t="s">
        <v>978</v>
      </c>
      <c r="BE8" s="5" t="s">
        <v>979</v>
      </c>
      <c r="BF8" s="5" t="s">
        <v>980</v>
      </c>
      <c r="BG8" s="5" t="s">
        <v>747</v>
      </c>
      <c r="BH8" s="5" t="s">
        <v>981</v>
      </c>
      <c r="BI8" s="5" t="s">
        <v>799</v>
      </c>
      <c r="BJ8" s="5" t="s">
        <v>163</v>
      </c>
      <c r="BK8" s="6" t="s">
        <v>982</v>
      </c>
    </row>
    <row r="9" spans="1:63" ht="400.2">
      <c r="A9" s="5" t="s">
        <v>165</v>
      </c>
      <c r="B9" s="5" t="s">
        <v>108</v>
      </c>
      <c r="C9" s="5" t="s">
        <v>751</v>
      </c>
      <c r="D9" s="5" t="s">
        <v>983</v>
      </c>
      <c r="E9" s="5" t="s">
        <v>168</v>
      </c>
      <c r="F9" s="5" t="s">
        <v>166</v>
      </c>
      <c r="G9" s="5" t="s">
        <v>105</v>
      </c>
      <c r="H9" s="5" t="s">
        <v>106</v>
      </c>
      <c r="I9" s="5" t="s">
        <v>170</v>
      </c>
      <c r="J9" s="5" t="s">
        <v>172</v>
      </c>
      <c r="K9" s="5" t="s">
        <v>984</v>
      </c>
      <c r="L9" s="5" t="s">
        <v>985</v>
      </c>
      <c r="M9" s="5" t="s">
        <v>986</v>
      </c>
      <c r="N9" s="5" t="s">
        <v>987</v>
      </c>
      <c r="O9" s="5" t="s">
        <v>988</v>
      </c>
      <c r="P9" s="5" t="s">
        <v>989</v>
      </c>
      <c r="Q9" s="5" t="s">
        <v>990</v>
      </c>
      <c r="R9" s="5" t="s">
        <v>991</v>
      </c>
      <c r="S9" s="5" t="s">
        <v>992</v>
      </c>
      <c r="T9" s="5" t="s">
        <v>993</v>
      </c>
      <c r="U9" s="5" t="s">
        <v>994</v>
      </c>
      <c r="V9" s="5" t="s">
        <v>995</v>
      </c>
      <c r="W9" s="5" t="s">
        <v>996</v>
      </c>
      <c r="X9" s="5" t="s">
        <v>997</v>
      </c>
      <c r="Y9" s="5" t="s">
        <v>998</v>
      </c>
      <c r="Z9" s="5" t="s">
        <v>999</v>
      </c>
      <c r="AA9" s="5" t="s">
        <v>1000</v>
      </c>
      <c r="AB9" s="5" t="s">
        <v>1001</v>
      </c>
      <c r="AC9" s="5" t="s">
        <v>1002</v>
      </c>
      <c r="AD9" s="5" t="s">
        <v>1003</v>
      </c>
      <c r="AE9" s="5" t="s">
        <v>1004</v>
      </c>
      <c r="AF9" s="5" t="s">
        <v>1005</v>
      </c>
      <c r="AG9" s="5" t="s">
        <v>1006</v>
      </c>
      <c r="AH9" s="5" t="s">
        <v>1007</v>
      </c>
      <c r="AI9" s="5" t="s">
        <v>726</v>
      </c>
      <c r="AJ9" s="5" t="s">
        <v>1008</v>
      </c>
      <c r="AK9" s="5" t="s">
        <v>1009</v>
      </c>
      <c r="AL9" s="5" t="s">
        <v>1010</v>
      </c>
      <c r="AM9" s="5" t="s">
        <v>1011</v>
      </c>
      <c r="AN9" s="5" t="s">
        <v>1012</v>
      </c>
      <c r="AO9" s="5" t="s">
        <v>1013</v>
      </c>
      <c r="AP9" s="5" t="s">
        <v>1014</v>
      </c>
      <c r="AQ9" s="5" t="s">
        <v>726</v>
      </c>
      <c r="AR9" s="5" t="s">
        <v>1015</v>
      </c>
      <c r="AS9" s="5" t="s">
        <v>1016</v>
      </c>
      <c r="AT9" s="5" t="s">
        <v>1017</v>
      </c>
      <c r="AU9" s="5" t="s">
        <v>1018</v>
      </c>
      <c r="AV9" s="5" t="s">
        <v>1019</v>
      </c>
      <c r="AW9" s="5" t="s">
        <v>1020</v>
      </c>
      <c r="AX9" s="5" t="s">
        <v>1021</v>
      </c>
      <c r="AY9" s="5" t="s">
        <v>726</v>
      </c>
      <c r="AZ9" s="5" t="s">
        <v>726</v>
      </c>
      <c r="BA9" s="5" t="s">
        <v>1022</v>
      </c>
      <c r="BB9" s="5" t="s">
        <v>726</v>
      </c>
      <c r="BC9" s="5" t="s">
        <v>1023</v>
      </c>
      <c r="BD9" s="5" t="s">
        <v>1024</v>
      </c>
      <c r="BE9" s="5" t="s">
        <v>1025</v>
      </c>
      <c r="BF9" s="5" t="s">
        <v>1026</v>
      </c>
      <c r="BG9" s="5" t="s">
        <v>1027</v>
      </c>
      <c r="BH9" s="5" t="s">
        <v>1028</v>
      </c>
      <c r="BI9" s="5" t="s">
        <v>799</v>
      </c>
      <c r="BJ9" s="5" t="s">
        <v>173</v>
      </c>
      <c r="BK9" s="6" t="s">
        <v>1029</v>
      </c>
    </row>
    <row r="10" spans="1:63" ht="248.4">
      <c r="A10" s="5" t="s">
        <v>175</v>
      </c>
      <c r="B10" s="5" t="s">
        <v>108</v>
      </c>
      <c r="C10" s="5" t="s">
        <v>751</v>
      </c>
      <c r="D10" s="5" t="s">
        <v>1030</v>
      </c>
      <c r="E10" s="5" t="s">
        <v>177</v>
      </c>
      <c r="F10" s="5" t="s">
        <v>101</v>
      </c>
      <c r="G10" s="5" t="s">
        <v>105</v>
      </c>
      <c r="H10" s="5" t="s">
        <v>106</v>
      </c>
      <c r="I10" s="5" t="s">
        <v>179</v>
      </c>
      <c r="J10" s="5" t="s">
        <v>181</v>
      </c>
      <c r="K10" s="5" t="s">
        <v>1031</v>
      </c>
      <c r="L10" s="5" t="s">
        <v>1032</v>
      </c>
      <c r="M10" s="5" t="s">
        <v>1033</v>
      </c>
      <c r="N10" s="5" t="s">
        <v>1034</v>
      </c>
      <c r="O10" s="5" t="s">
        <v>1035</v>
      </c>
      <c r="P10" s="5" t="s">
        <v>1036</v>
      </c>
      <c r="Q10" s="5" t="s">
        <v>1037</v>
      </c>
      <c r="R10" s="5" t="s">
        <v>1038</v>
      </c>
      <c r="S10" s="5" t="s">
        <v>1039</v>
      </c>
      <c r="T10" s="5" t="s">
        <v>1040</v>
      </c>
      <c r="U10" s="5" t="s">
        <v>1041</v>
      </c>
      <c r="V10" s="5" t="s">
        <v>1042</v>
      </c>
      <c r="W10" s="5" t="s">
        <v>1043</v>
      </c>
      <c r="X10" s="5" t="s">
        <v>1044</v>
      </c>
      <c r="Y10" s="5" t="s">
        <v>1045</v>
      </c>
      <c r="Z10" s="5" t="s">
        <v>1046</v>
      </c>
      <c r="AA10" s="5" t="s">
        <v>1047</v>
      </c>
      <c r="AB10" s="5" t="s">
        <v>1048</v>
      </c>
      <c r="AC10" s="5" t="s">
        <v>770</v>
      </c>
      <c r="AD10" s="5" t="s">
        <v>1049</v>
      </c>
      <c r="AE10" s="5" t="s">
        <v>1050</v>
      </c>
      <c r="AF10" s="5" t="s">
        <v>723</v>
      </c>
      <c r="AG10" s="5" t="s">
        <v>1051</v>
      </c>
      <c r="AH10" s="5" t="s">
        <v>1052</v>
      </c>
      <c r="AI10" s="5" t="s">
        <v>1053</v>
      </c>
      <c r="AJ10" s="5" t="s">
        <v>1054</v>
      </c>
      <c r="AK10" s="5" t="s">
        <v>1055</v>
      </c>
      <c r="AL10" s="5" t="s">
        <v>1056</v>
      </c>
      <c r="AM10" s="5" t="s">
        <v>1057</v>
      </c>
      <c r="AN10" s="5" t="s">
        <v>1058</v>
      </c>
      <c r="AO10" s="5" t="s">
        <v>1059</v>
      </c>
      <c r="AP10" s="5" t="s">
        <v>1060</v>
      </c>
      <c r="AQ10" s="5" t="s">
        <v>1061</v>
      </c>
      <c r="AR10" s="5" t="s">
        <v>734</v>
      </c>
      <c r="AS10" s="5" t="s">
        <v>1062</v>
      </c>
      <c r="AT10" s="5" t="s">
        <v>1063</v>
      </c>
      <c r="AU10" s="5" t="s">
        <v>1064</v>
      </c>
      <c r="AV10" s="5" t="s">
        <v>1065</v>
      </c>
      <c r="AW10" s="5" t="s">
        <v>1066</v>
      </c>
      <c r="AX10" s="5" t="s">
        <v>1067</v>
      </c>
      <c r="AY10" s="5" t="s">
        <v>726</v>
      </c>
      <c r="AZ10" s="5" t="s">
        <v>1068</v>
      </c>
      <c r="BA10" s="5" t="s">
        <v>1069</v>
      </c>
      <c r="BB10" s="5" t="s">
        <v>726</v>
      </c>
      <c r="BC10" s="5" t="s">
        <v>1070</v>
      </c>
      <c r="BD10" s="5" t="s">
        <v>1071</v>
      </c>
      <c r="BE10" s="5" t="s">
        <v>1072</v>
      </c>
      <c r="BF10" s="5" t="s">
        <v>1073</v>
      </c>
      <c r="BG10" s="5" t="s">
        <v>747</v>
      </c>
      <c r="BH10" s="5" t="s">
        <v>1074</v>
      </c>
      <c r="BI10" s="5" t="s">
        <v>799</v>
      </c>
      <c r="BJ10" s="5" t="s">
        <v>182</v>
      </c>
      <c r="BK10" s="6" t="s">
        <v>1075</v>
      </c>
    </row>
    <row r="11" spans="1:63" ht="409.6">
      <c r="A11" s="5" t="s">
        <v>184</v>
      </c>
      <c r="B11" s="5" t="s">
        <v>99</v>
      </c>
      <c r="C11" s="5" t="s">
        <v>700</v>
      </c>
      <c r="D11" s="5" t="s">
        <v>1076</v>
      </c>
      <c r="E11" s="5" t="s">
        <v>186</v>
      </c>
      <c r="F11" s="5" t="s">
        <v>119</v>
      </c>
      <c r="G11" s="5" t="s">
        <v>105</v>
      </c>
      <c r="H11" s="5" t="s">
        <v>106</v>
      </c>
      <c r="I11" s="5" t="s">
        <v>188</v>
      </c>
      <c r="J11" s="5" t="s">
        <v>190</v>
      </c>
      <c r="K11" s="5" t="s">
        <v>1077</v>
      </c>
      <c r="L11" s="5" t="s">
        <v>1078</v>
      </c>
      <c r="M11" s="5" t="s">
        <v>1079</v>
      </c>
      <c r="N11" s="5" t="s">
        <v>1080</v>
      </c>
      <c r="O11" s="5" t="s">
        <v>1081</v>
      </c>
      <c r="P11" s="5" t="s">
        <v>1082</v>
      </c>
      <c r="Q11" s="5" t="s">
        <v>1083</v>
      </c>
      <c r="R11" s="5" t="s">
        <v>1084</v>
      </c>
      <c r="S11" s="5" t="s">
        <v>1085</v>
      </c>
      <c r="T11" s="5" t="s">
        <v>1086</v>
      </c>
      <c r="U11" s="5" t="s">
        <v>1087</v>
      </c>
      <c r="V11" s="5" t="s">
        <v>1088</v>
      </c>
      <c r="W11" s="5" t="s">
        <v>1089</v>
      </c>
      <c r="X11" s="5" t="s">
        <v>1090</v>
      </c>
      <c r="Y11" s="5" t="s">
        <v>1091</v>
      </c>
      <c r="Z11" s="5" t="s">
        <v>1092</v>
      </c>
      <c r="AA11" s="5" t="s">
        <v>1093</v>
      </c>
      <c r="AB11" s="5" t="s">
        <v>1094</v>
      </c>
      <c r="AC11" s="5" t="s">
        <v>770</v>
      </c>
      <c r="AD11" s="5" t="s">
        <v>1095</v>
      </c>
      <c r="AE11" s="5" t="s">
        <v>1096</v>
      </c>
      <c r="AF11" s="5" t="s">
        <v>1097</v>
      </c>
      <c r="AG11" s="5" t="s">
        <v>1098</v>
      </c>
      <c r="AH11" s="5" t="s">
        <v>1099</v>
      </c>
      <c r="AI11" s="5" t="s">
        <v>1100</v>
      </c>
      <c r="AJ11" s="5" t="s">
        <v>1101</v>
      </c>
      <c r="AK11" s="5" t="s">
        <v>1102</v>
      </c>
      <c r="AL11" s="5" t="s">
        <v>1103</v>
      </c>
      <c r="AM11" s="5" t="s">
        <v>1104</v>
      </c>
      <c r="AN11" s="5" t="s">
        <v>1105</v>
      </c>
      <c r="AO11" s="5" t="s">
        <v>1106</v>
      </c>
      <c r="AP11" s="5" t="s">
        <v>1107</v>
      </c>
      <c r="AQ11" s="5" t="s">
        <v>726</v>
      </c>
      <c r="AR11" s="5" t="s">
        <v>1108</v>
      </c>
      <c r="AS11" s="5" t="s">
        <v>1109</v>
      </c>
      <c r="AT11" s="5" t="s">
        <v>1110</v>
      </c>
      <c r="AU11" s="5" t="s">
        <v>726</v>
      </c>
      <c r="AV11" s="5" t="s">
        <v>1111</v>
      </c>
      <c r="AW11" s="5" t="s">
        <v>1112</v>
      </c>
      <c r="AX11" s="5" t="s">
        <v>1113</v>
      </c>
      <c r="AY11" s="5" t="s">
        <v>726</v>
      </c>
      <c r="AZ11" s="5" t="s">
        <v>1114</v>
      </c>
      <c r="BA11" s="5" t="s">
        <v>1115</v>
      </c>
      <c r="BB11" s="5" t="s">
        <v>726</v>
      </c>
      <c r="BC11" s="5" t="s">
        <v>1116</v>
      </c>
      <c r="BD11" s="5" t="s">
        <v>1117</v>
      </c>
      <c r="BE11" s="5" t="s">
        <v>1118</v>
      </c>
      <c r="BF11" s="5" t="s">
        <v>1119</v>
      </c>
      <c r="BG11" s="5" t="s">
        <v>1120</v>
      </c>
      <c r="BH11" s="5" t="s">
        <v>1121</v>
      </c>
      <c r="BI11" s="5" t="s">
        <v>749</v>
      </c>
      <c r="BJ11" s="5" t="s">
        <v>191</v>
      </c>
      <c r="BK11" s="6" t="s">
        <v>1122</v>
      </c>
    </row>
    <row r="12" spans="1:63" ht="248.4">
      <c r="A12" s="5" t="s">
        <v>193</v>
      </c>
      <c r="B12" s="5" t="s">
        <v>108</v>
      </c>
      <c r="C12" s="5" t="s">
        <v>751</v>
      </c>
      <c r="D12" s="5" t="s">
        <v>1123</v>
      </c>
      <c r="E12" s="5" t="s">
        <v>195</v>
      </c>
      <c r="F12" s="5" t="s">
        <v>101</v>
      </c>
      <c r="G12" s="5" t="s">
        <v>88</v>
      </c>
      <c r="H12" s="5" t="s">
        <v>88</v>
      </c>
      <c r="I12" s="5" t="s">
        <v>198</v>
      </c>
      <c r="J12" s="5" t="s">
        <v>200</v>
      </c>
      <c r="K12" s="5" t="s">
        <v>1124</v>
      </c>
      <c r="L12" s="5" t="s">
        <v>1125</v>
      </c>
      <c r="M12" s="5" t="s">
        <v>1126</v>
      </c>
      <c r="N12" s="5" t="s">
        <v>1127</v>
      </c>
      <c r="O12" s="5" t="s">
        <v>1128</v>
      </c>
      <c r="P12" s="5" t="s">
        <v>1129</v>
      </c>
      <c r="Q12" s="5" t="s">
        <v>1130</v>
      </c>
      <c r="R12" s="5" t="s">
        <v>1131</v>
      </c>
      <c r="S12" s="5" t="s">
        <v>1132</v>
      </c>
      <c r="T12" s="5" t="s">
        <v>1133</v>
      </c>
      <c r="U12" s="5" t="s">
        <v>1134</v>
      </c>
      <c r="V12" s="5" t="s">
        <v>867</v>
      </c>
      <c r="W12" s="5" t="s">
        <v>1135</v>
      </c>
      <c r="X12" s="5" t="s">
        <v>1136</v>
      </c>
      <c r="Y12" s="5" t="s">
        <v>1137</v>
      </c>
      <c r="Z12" s="5" t="s">
        <v>1138</v>
      </c>
      <c r="AA12" s="5" t="s">
        <v>867</v>
      </c>
      <c r="AB12" s="5" t="s">
        <v>1139</v>
      </c>
      <c r="AC12" s="5" t="s">
        <v>1140</v>
      </c>
      <c r="AD12" s="5" t="s">
        <v>1141</v>
      </c>
      <c r="AE12" s="5" t="s">
        <v>1142</v>
      </c>
      <c r="AF12" s="5" t="s">
        <v>1143</v>
      </c>
      <c r="AG12" s="5" t="s">
        <v>1144</v>
      </c>
      <c r="AH12" s="5" t="s">
        <v>726</v>
      </c>
      <c r="AI12" s="5" t="s">
        <v>726</v>
      </c>
      <c r="AJ12" s="5" t="s">
        <v>726</v>
      </c>
      <c r="AK12" s="5" t="s">
        <v>726</v>
      </c>
      <c r="AL12" s="5" t="s">
        <v>1145</v>
      </c>
      <c r="AM12" s="5" t="s">
        <v>1146</v>
      </c>
      <c r="AN12" s="5" t="s">
        <v>1147</v>
      </c>
      <c r="AO12" s="5" t="s">
        <v>1148</v>
      </c>
      <c r="AP12" s="5" t="s">
        <v>1149</v>
      </c>
      <c r="AQ12" s="5" t="s">
        <v>1150</v>
      </c>
      <c r="AR12" s="5" t="s">
        <v>1151</v>
      </c>
      <c r="AS12" s="5" t="s">
        <v>867</v>
      </c>
      <c r="AT12" s="5" t="s">
        <v>108</v>
      </c>
      <c r="AU12" s="5" t="s">
        <v>867</v>
      </c>
      <c r="AV12" s="5" t="s">
        <v>1152</v>
      </c>
      <c r="AW12" s="5" t="s">
        <v>1153</v>
      </c>
      <c r="AX12" s="5" t="s">
        <v>1154</v>
      </c>
      <c r="AY12" s="5" t="s">
        <v>867</v>
      </c>
      <c r="AZ12" s="5" t="s">
        <v>867</v>
      </c>
      <c r="BA12" s="5" t="s">
        <v>867</v>
      </c>
      <c r="BB12" s="5" t="s">
        <v>867</v>
      </c>
      <c r="BC12" s="5" t="s">
        <v>1155</v>
      </c>
      <c r="BD12" s="5" t="s">
        <v>1156</v>
      </c>
      <c r="BE12" s="5" t="s">
        <v>1157</v>
      </c>
      <c r="BF12" s="5" t="s">
        <v>1158</v>
      </c>
      <c r="BG12" s="5" t="s">
        <v>747</v>
      </c>
      <c r="BH12" s="5" t="s">
        <v>1159</v>
      </c>
      <c r="BI12" s="5" t="s">
        <v>799</v>
      </c>
      <c r="BJ12" s="5" t="s">
        <v>201</v>
      </c>
      <c r="BK12" s="6" t="s">
        <v>1160</v>
      </c>
    </row>
    <row r="13" spans="1:63" ht="67.2" customHeight="1">
      <c r="A13" s="5" t="s">
        <v>203</v>
      </c>
      <c r="B13" s="5" t="s">
        <v>108</v>
      </c>
      <c r="C13" s="5" t="s">
        <v>1161</v>
      </c>
      <c r="D13" s="5" t="s">
        <v>1162</v>
      </c>
      <c r="E13" s="5" t="s">
        <v>206</v>
      </c>
      <c r="F13" s="5" t="s">
        <v>101</v>
      </c>
      <c r="G13" s="5" t="s">
        <v>123</v>
      </c>
      <c r="H13" s="5" t="s">
        <v>106</v>
      </c>
      <c r="I13" s="5" t="s">
        <v>208</v>
      </c>
      <c r="J13" s="5" t="s">
        <v>190</v>
      </c>
      <c r="K13" s="5" t="s">
        <v>1163</v>
      </c>
      <c r="L13" s="5" t="s">
        <v>1164</v>
      </c>
      <c r="M13" s="5" t="s">
        <v>1165</v>
      </c>
      <c r="N13" s="5" t="s">
        <v>1166</v>
      </c>
      <c r="O13" s="5" t="s">
        <v>1167</v>
      </c>
      <c r="P13" s="5" t="s">
        <v>1168</v>
      </c>
      <c r="Q13" s="5" t="s">
        <v>1169</v>
      </c>
      <c r="R13" s="5" t="s">
        <v>1170</v>
      </c>
      <c r="S13" s="5" t="s">
        <v>1171</v>
      </c>
      <c r="T13" s="5" t="s">
        <v>1172</v>
      </c>
      <c r="U13" s="5" t="s">
        <v>1173</v>
      </c>
      <c r="V13" s="5" t="s">
        <v>1174</v>
      </c>
      <c r="W13" s="5" t="s">
        <v>1175</v>
      </c>
      <c r="X13" s="5" t="s">
        <v>1176</v>
      </c>
      <c r="Y13" s="5" t="s">
        <v>1177</v>
      </c>
      <c r="Z13" s="5" t="s">
        <v>1178</v>
      </c>
      <c r="AA13" s="5" t="s">
        <v>1179</v>
      </c>
      <c r="AB13" s="5" t="s">
        <v>1180</v>
      </c>
      <c r="AC13" s="5" t="s">
        <v>1181</v>
      </c>
      <c r="AD13" s="5" t="s">
        <v>1182</v>
      </c>
      <c r="AE13" s="5" t="s">
        <v>1183</v>
      </c>
      <c r="AF13" s="5" t="s">
        <v>723</v>
      </c>
      <c r="AG13" s="5" t="s">
        <v>1184</v>
      </c>
      <c r="AH13" s="5" t="s">
        <v>1185</v>
      </c>
      <c r="AI13" s="5" t="s">
        <v>726</v>
      </c>
      <c r="AJ13" s="5" t="s">
        <v>1186</v>
      </c>
      <c r="AK13" s="5" t="s">
        <v>1187</v>
      </c>
      <c r="AL13" s="5" t="s">
        <v>1188</v>
      </c>
      <c r="AM13" s="5" t="s">
        <v>1189</v>
      </c>
      <c r="AN13" s="5" t="s">
        <v>1190</v>
      </c>
      <c r="AO13" s="5" t="s">
        <v>726</v>
      </c>
      <c r="AP13" s="5" t="s">
        <v>1191</v>
      </c>
      <c r="AQ13" s="5" t="s">
        <v>1192</v>
      </c>
      <c r="AR13" s="5" t="s">
        <v>1193</v>
      </c>
      <c r="AS13" s="5" t="s">
        <v>1194</v>
      </c>
      <c r="AT13" s="5" t="s">
        <v>1195</v>
      </c>
      <c r="AU13" s="5" t="s">
        <v>1196</v>
      </c>
      <c r="AV13" s="5" t="s">
        <v>1197</v>
      </c>
      <c r="AW13" s="5" t="s">
        <v>1198</v>
      </c>
      <c r="AX13" s="5" t="s">
        <v>1199</v>
      </c>
      <c r="AY13" s="5" t="s">
        <v>1200</v>
      </c>
      <c r="AZ13" s="5" t="s">
        <v>1201</v>
      </c>
      <c r="BA13" s="5" t="s">
        <v>1202</v>
      </c>
      <c r="BB13" s="5" t="s">
        <v>726</v>
      </c>
      <c r="BC13" s="5" t="s">
        <v>1203</v>
      </c>
      <c r="BD13" s="5" t="s">
        <v>1204</v>
      </c>
      <c r="BE13" s="5" t="s">
        <v>1205</v>
      </c>
      <c r="BF13" s="5" t="s">
        <v>1206</v>
      </c>
      <c r="BG13" s="5" t="s">
        <v>747</v>
      </c>
      <c r="BH13" s="5" t="s">
        <v>1207</v>
      </c>
      <c r="BI13" s="5" t="s">
        <v>1208</v>
      </c>
      <c r="BJ13" s="5" t="s">
        <v>210</v>
      </c>
      <c r="BK13" s="6" t="s">
        <v>1209</v>
      </c>
    </row>
    <row r="14" spans="1:63" ht="67.2" customHeight="1">
      <c r="A14" s="5" t="s">
        <v>212</v>
      </c>
      <c r="B14" s="5" t="s">
        <v>108</v>
      </c>
      <c r="C14" s="5" t="s">
        <v>213</v>
      </c>
      <c r="D14" s="5" t="s">
        <v>1210</v>
      </c>
      <c r="E14" s="5" t="s">
        <v>215</v>
      </c>
      <c r="F14" s="5" t="s">
        <v>166</v>
      </c>
      <c r="G14" s="5" t="s">
        <v>105</v>
      </c>
      <c r="H14" s="5" t="s">
        <v>106</v>
      </c>
      <c r="I14" s="5" t="s">
        <v>217</v>
      </c>
      <c r="J14" s="5" t="s">
        <v>219</v>
      </c>
      <c r="K14" s="5" t="s">
        <v>1211</v>
      </c>
      <c r="L14" s="5" t="s">
        <v>1212</v>
      </c>
      <c r="M14" s="5" t="s">
        <v>1213</v>
      </c>
      <c r="N14" s="5" t="s">
        <v>1214</v>
      </c>
      <c r="O14" s="5" t="s">
        <v>1215</v>
      </c>
      <c r="P14" s="5" t="s">
        <v>1216</v>
      </c>
      <c r="Q14" s="5" t="s">
        <v>1217</v>
      </c>
      <c r="R14" s="5" t="s">
        <v>1218</v>
      </c>
      <c r="S14" s="5" t="s">
        <v>1219</v>
      </c>
      <c r="T14" s="5" t="s">
        <v>1220</v>
      </c>
      <c r="U14" s="5" t="s">
        <v>1221</v>
      </c>
      <c r="V14" s="5" t="s">
        <v>1221</v>
      </c>
      <c r="W14" s="5" t="s">
        <v>1222</v>
      </c>
      <c r="X14" s="5" t="s">
        <v>1221</v>
      </c>
      <c r="Y14" s="5" t="s">
        <v>1223</v>
      </c>
      <c r="Z14" s="5" t="s">
        <v>1221</v>
      </c>
      <c r="AA14" s="5" t="s">
        <v>1221</v>
      </c>
      <c r="AB14" s="5" t="s">
        <v>1224</v>
      </c>
      <c r="AC14" s="5" t="s">
        <v>1225</v>
      </c>
      <c r="AD14" s="5" t="s">
        <v>1226</v>
      </c>
      <c r="AE14" s="5" t="s">
        <v>1227</v>
      </c>
      <c r="AF14" s="5" t="s">
        <v>1228</v>
      </c>
      <c r="AG14" s="5" t="s">
        <v>1229</v>
      </c>
      <c r="AH14" s="5" t="s">
        <v>1230</v>
      </c>
      <c r="AI14" s="5" t="s">
        <v>726</v>
      </c>
      <c r="AJ14" s="5" t="s">
        <v>726</v>
      </c>
      <c r="AK14" s="5" t="s">
        <v>726</v>
      </c>
      <c r="AL14" s="5" t="s">
        <v>726</v>
      </c>
      <c r="AM14" s="5" t="s">
        <v>1231</v>
      </c>
      <c r="AN14" s="5" t="s">
        <v>1232</v>
      </c>
      <c r="AO14" s="5" t="s">
        <v>1233</v>
      </c>
      <c r="AP14" s="5" t="s">
        <v>726</v>
      </c>
      <c r="AQ14" s="5" t="s">
        <v>726</v>
      </c>
      <c r="AR14" s="5" t="s">
        <v>1234</v>
      </c>
      <c r="AS14" s="5" t="s">
        <v>1221</v>
      </c>
      <c r="AT14" s="5" t="s">
        <v>1235</v>
      </c>
      <c r="AU14" s="5" t="s">
        <v>726</v>
      </c>
      <c r="AV14" s="5" t="s">
        <v>1236</v>
      </c>
      <c r="AW14" s="5" t="s">
        <v>726</v>
      </c>
      <c r="AX14" s="5" t="s">
        <v>1237</v>
      </c>
      <c r="AY14" s="5" t="s">
        <v>1238</v>
      </c>
      <c r="AZ14" s="5" t="s">
        <v>726</v>
      </c>
      <c r="BA14" s="5" t="s">
        <v>726</v>
      </c>
      <c r="BB14" s="5" t="s">
        <v>726</v>
      </c>
      <c r="BC14" s="5" t="s">
        <v>726</v>
      </c>
      <c r="BD14" s="5" t="s">
        <v>1239</v>
      </c>
      <c r="BE14" s="5" t="s">
        <v>1240</v>
      </c>
      <c r="BF14" s="5" t="s">
        <v>1241</v>
      </c>
      <c r="BG14" s="5" t="s">
        <v>1242</v>
      </c>
      <c r="BH14" s="5" t="s">
        <v>1243</v>
      </c>
      <c r="BI14" s="5" t="s">
        <v>221</v>
      </c>
      <c r="BJ14" s="5" t="s">
        <v>222</v>
      </c>
      <c r="BK14" s="6" t="s">
        <v>1244</v>
      </c>
    </row>
    <row r="15" spans="1:63" ht="409.6">
      <c r="A15" s="5" t="s">
        <v>224</v>
      </c>
      <c r="B15" s="5" t="s">
        <v>99</v>
      </c>
      <c r="C15" s="5" t="s">
        <v>700</v>
      </c>
      <c r="D15" s="5" t="s">
        <v>1245</v>
      </c>
      <c r="E15" s="5" t="s">
        <v>227</v>
      </c>
      <c r="F15" s="5" t="s">
        <v>225</v>
      </c>
      <c r="G15" s="5" t="s">
        <v>105</v>
      </c>
      <c r="H15" s="5" t="s">
        <v>106</v>
      </c>
      <c r="I15" s="5" t="s">
        <v>229</v>
      </c>
      <c r="J15" s="5" t="s">
        <v>231</v>
      </c>
      <c r="K15" s="5" t="s">
        <v>1246</v>
      </c>
      <c r="L15" s="5" t="s">
        <v>1247</v>
      </c>
      <c r="M15" s="5" t="s">
        <v>1248</v>
      </c>
      <c r="N15" s="5" t="s">
        <v>1249</v>
      </c>
      <c r="O15" s="5" t="s">
        <v>1250</v>
      </c>
      <c r="P15" s="5" t="s">
        <v>1251</v>
      </c>
      <c r="Q15" s="5" t="s">
        <v>1252</v>
      </c>
      <c r="R15" s="5" t="s">
        <v>1253</v>
      </c>
      <c r="S15" s="5" t="s">
        <v>1254</v>
      </c>
      <c r="T15" s="5" t="s">
        <v>1255</v>
      </c>
      <c r="U15" s="5" t="s">
        <v>1256</v>
      </c>
      <c r="V15" s="5" t="s">
        <v>1257</v>
      </c>
      <c r="W15" s="5" t="s">
        <v>1258</v>
      </c>
      <c r="X15" s="5" t="s">
        <v>1259</v>
      </c>
      <c r="Y15" s="5" t="s">
        <v>1260</v>
      </c>
      <c r="Z15" s="5" t="s">
        <v>1261</v>
      </c>
      <c r="AA15" s="5" t="s">
        <v>1262</v>
      </c>
      <c r="AB15" s="5" t="s">
        <v>1263</v>
      </c>
      <c r="AC15" s="5" t="s">
        <v>1264</v>
      </c>
      <c r="AD15" s="5" t="s">
        <v>1265</v>
      </c>
      <c r="AE15" s="5" t="s">
        <v>1266</v>
      </c>
      <c r="AF15" s="5" t="s">
        <v>1267</v>
      </c>
      <c r="AG15" s="5" t="s">
        <v>1268</v>
      </c>
      <c r="AH15" s="5" t="s">
        <v>1269</v>
      </c>
      <c r="AI15" s="5" t="s">
        <v>1270</v>
      </c>
      <c r="AJ15" s="5" t="s">
        <v>1271</v>
      </c>
      <c r="AK15" s="5" t="s">
        <v>1272</v>
      </c>
      <c r="AL15" s="5" t="s">
        <v>1273</v>
      </c>
      <c r="AM15" s="5" t="s">
        <v>1274</v>
      </c>
      <c r="AN15" s="5" t="s">
        <v>1275</v>
      </c>
      <c r="AO15" s="5" t="s">
        <v>1276</v>
      </c>
      <c r="AP15" s="5" t="s">
        <v>1277</v>
      </c>
      <c r="AQ15" s="5" t="s">
        <v>1278</v>
      </c>
      <c r="AR15" s="5" t="s">
        <v>734</v>
      </c>
      <c r="AS15" s="5" t="s">
        <v>1279</v>
      </c>
      <c r="AT15" s="5" t="s">
        <v>1280</v>
      </c>
      <c r="AU15" s="5" t="s">
        <v>1281</v>
      </c>
      <c r="AV15" s="5" t="s">
        <v>1282</v>
      </c>
      <c r="AW15" s="5" t="s">
        <v>1283</v>
      </c>
      <c r="AX15" s="5" t="s">
        <v>1284</v>
      </c>
      <c r="AY15" s="5" t="s">
        <v>1285</v>
      </c>
      <c r="AZ15" s="5" t="s">
        <v>1286</v>
      </c>
      <c r="BA15" s="5" t="s">
        <v>1287</v>
      </c>
      <c r="BB15" s="5" t="s">
        <v>1288</v>
      </c>
      <c r="BC15" s="5" t="s">
        <v>1289</v>
      </c>
      <c r="BD15" s="5" t="s">
        <v>1290</v>
      </c>
      <c r="BE15" s="5" t="s">
        <v>1291</v>
      </c>
      <c r="BF15" s="5" t="s">
        <v>1292</v>
      </c>
      <c r="BG15" s="5" t="s">
        <v>747</v>
      </c>
      <c r="BH15" s="5" t="s">
        <v>1293</v>
      </c>
      <c r="BI15" s="5" t="s">
        <v>749</v>
      </c>
      <c r="BJ15" s="5" t="s">
        <v>232</v>
      </c>
      <c r="BK15" s="6" t="s">
        <v>1294</v>
      </c>
    </row>
    <row r="16" spans="1:63" ht="67.2" customHeight="1">
      <c r="A16" s="5" t="s">
        <v>234</v>
      </c>
      <c r="B16" s="5" t="s">
        <v>108</v>
      </c>
      <c r="C16" s="5" t="s">
        <v>1161</v>
      </c>
      <c r="D16" s="5" t="s">
        <v>1295</v>
      </c>
      <c r="E16" s="5" t="s">
        <v>236</v>
      </c>
      <c r="F16" s="5" t="s">
        <v>101</v>
      </c>
      <c r="G16" s="5" t="s">
        <v>105</v>
      </c>
      <c r="H16" s="5" t="s">
        <v>106</v>
      </c>
      <c r="I16" s="5" t="s">
        <v>238</v>
      </c>
      <c r="J16" s="5" t="s">
        <v>240</v>
      </c>
      <c r="K16" s="5" t="s">
        <v>1296</v>
      </c>
      <c r="L16" s="5" t="s">
        <v>1297</v>
      </c>
      <c r="M16" s="5" t="s">
        <v>1298</v>
      </c>
      <c r="N16" s="5" t="s">
        <v>1299</v>
      </c>
      <c r="O16" s="5" t="s">
        <v>1300</v>
      </c>
      <c r="P16" s="5" t="s">
        <v>1301</v>
      </c>
      <c r="Q16" s="5" t="s">
        <v>1302</v>
      </c>
      <c r="R16" s="5" t="s">
        <v>1303</v>
      </c>
      <c r="S16" s="5" t="s">
        <v>1304</v>
      </c>
      <c r="T16" s="5" t="s">
        <v>1305</v>
      </c>
      <c r="U16" s="5" t="s">
        <v>1306</v>
      </c>
      <c r="V16" s="5" t="s">
        <v>1307</v>
      </c>
      <c r="W16" s="5" t="s">
        <v>1308</v>
      </c>
      <c r="X16" s="5" t="s">
        <v>1309</v>
      </c>
      <c r="Y16" s="5" t="s">
        <v>816</v>
      </c>
      <c r="Z16" s="5" t="s">
        <v>1310</v>
      </c>
      <c r="AA16" s="5" t="s">
        <v>1311</v>
      </c>
      <c r="AB16" s="5" t="s">
        <v>1312</v>
      </c>
      <c r="AC16" s="5" t="s">
        <v>1313</v>
      </c>
      <c r="AD16" s="5" t="s">
        <v>1314</v>
      </c>
      <c r="AE16" s="5" t="s">
        <v>1315</v>
      </c>
      <c r="AF16" s="5" t="s">
        <v>1316</v>
      </c>
      <c r="AG16" s="5" t="s">
        <v>1317</v>
      </c>
      <c r="AH16" s="5" t="s">
        <v>1318</v>
      </c>
      <c r="AI16" s="5" t="s">
        <v>726</v>
      </c>
      <c r="AJ16" s="5" t="s">
        <v>1319</v>
      </c>
      <c r="AK16" s="5" t="s">
        <v>726</v>
      </c>
      <c r="AL16" s="5" t="s">
        <v>1320</v>
      </c>
      <c r="AM16" s="5" t="s">
        <v>1321</v>
      </c>
      <c r="AN16" s="5" t="s">
        <v>1322</v>
      </c>
      <c r="AO16" s="5" t="s">
        <v>1323</v>
      </c>
      <c r="AP16" s="5" t="s">
        <v>1324</v>
      </c>
      <c r="AQ16" s="5" t="s">
        <v>726</v>
      </c>
      <c r="AR16" s="5" t="s">
        <v>1325</v>
      </c>
      <c r="AS16" s="5" t="s">
        <v>1326</v>
      </c>
      <c r="AT16" s="5" t="s">
        <v>1327</v>
      </c>
      <c r="AU16" s="5" t="s">
        <v>1328</v>
      </c>
      <c r="AV16" s="5" t="s">
        <v>1329</v>
      </c>
      <c r="AW16" s="5" t="s">
        <v>1330</v>
      </c>
      <c r="AX16" s="5" t="s">
        <v>1331</v>
      </c>
      <c r="AY16" s="5" t="s">
        <v>1332</v>
      </c>
      <c r="AZ16" s="5" t="s">
        <v>1333</v>
      </c>
      <c r="BA16" s="5" t="s">
        <v>1334</v>
      </c>
      <c r="BB16" s="5" t="s">
        <v>1335</v>
      </c>
      <c r="BC16" s="5" t="s">
        <v>1336</v>
      </c>
      <c r="BD16" s="5" t="s">
        <v>1337</v>
      </c>
      <c r="BE16" s="5" t="s">
        <v>1338</v>
      </c>
      <c r="BF16" s="5" t="s">
        <v>1339</v>
      </c>
      <c r="BG16" s="5" t="s">
        <v>1340</v>
      </c>
      <c r="BH16" s="5" t="s">
        <v>1341</v>
      </c>
      <c r="BI16" s="5" t="s">
        <v>1208</v>
      </c>
      <c r="BJ16" s="5" t="s">
        <v>241</v>
      </c>
      <c r="BK16" s="6" t="s">
        <v>1342</v>
      </c>
    </row>
    <row r="17" spans="1:63" ht="67.2" customHeight="1">
      <c r="A17" s="5" t="s">
        <v>243</v>
      </c>
      <c r="B17" s="5" t="s">
        <v>108</v>
      </c>
      <c r="C17" s="5" t="s">
        <v>1161</v>
      </c>
      <c r="D17" s="5" t="s">
        <v>1343</v>
      </c>
      <c r="E17" s="5" t="s">
        <v>245</v>
      </c>
      <c r="F17" s="5" t="s">
        <v>166</v>
      </c>
      <c r="G17" s="5" t="s">
        <v>105</v>
      </c>
      <c r="H17" s="5" t="s">
        <v>106</v>
      </c>
      <c r="I17" s="5" t="s">
        <v>246</v>
      </c>
      <c r="J17" s="5" t="s">
        <v>248</v>
      </c>
      <c r="K17" s="5" t="s">
        <v>1344</v>
      </c>
      <c r="L17" s="5" t="s">
        <v>1345</v>
      </c>
      <c r="M17" s="5" t="s">
        <v>1346</v>
      </c>
      <c r="N17" s="5" t="s">
        <v>1347</v>
      </c>
      <c r="O17" s="5" t="s">
        <v>1348</v>
      </c>
      <c r="P17" s="5" t="s">
        <v>1349</v>
      </c>
      <c r="Q17" s="5" t="s">
        <v>1350</v>
      </c>
      <c r="R17" s="5" t="s">
        <v>1351</v>
      </c>
      <c r="S17" s="5" t="s">
        <v>1352</v>
      </c>
      <c r="T17" s="5" t="s">
        <v>1353</v>
      </c>
      <c r="U17" s="5" t="s">
        <v>1354</v>
      </c>
      <c r="V17" s="5" t="s">
        <v>1355</v>
      </c>
      <c r="W17" s="5" t="s">
        <v>1356</v>
      </c>
      <c r="X17" s="5" t="s">
        <v>1357</v>
      </c>
      <c r="Y17" s="5" t="s">
        <v>1358</v>
      </c>
      <c r="Z17" s="5" t="s">
        <v>1359</v>
      </c>
      <c r="AA17" s="5" t="s">
        <v>726</v>
      </c>
      <c r="AB17" s="5" t="s">
        <v>1360</v>
      </c>
      <c r="AC17" s="5" t="s">
        <v>770</v>
      </c>
      <c r="AD17" s="5" t="s">
        <v>1361</v>
      </c>
      <c r="AE17" s="5" t="s">
        <v>1362</v>
      </c>
      <c r="AF17" s="5" t="s">
        <v>1363</v>
      </c>
      <c r="AG17" s="5" t="s">
        <v>1364</v>
      </c>
      <c r="AH17" s="5" t="s">
        <v>1365</v>
      </c>
      <c r="AI17" s="5" t="s">
        <v>726</v>
      </c>
      <c r="AJ17" s="5" t="s">
        <v>1366</v>
      </c>
      <c r="AK17" s="5" t="s">
        <v>1367</v>
      </c>
      <c r="AL17" s="5" t="s">
        <v>1368</v>
      </c>
      <c r="AM17" s="5" t="s">
        <v>1369</v>
      </c>
      <c r="AN17" s="5" t="s">
        <v>1370</v>
      </c>
      <c r="AO17" s="5" t="s">
        <v>1371</v>
      </c>
      <c r="AP17" s="5" t="s">
        <v>1372</v>
      </c>
      <c r="AQ17" s="5" t="s">
        <v>1373</v>
      </c>
      <c r="AR17" s="5" t="s">
        <v>1374</v>
      </c>
      <c r="AS17" s="5" t="s">
        <v>1375</v>
      </c>
      <c r="AT17" s="5" t="s">
        <v>1376</v>
      </c>
      <c r="AU17" s="5" t="s">
        <v>1377</v>
      </c>
      <c r="AV17" s="5" t="s">
        <v>1378</v>
      </c>
      <c r="AW17" s="5" t="s">
        <v>1379</v>
      </c>
      <c r="AX17" s="5" t="s">
        <v>1380</v>
      </c>
      <c r="AY17" s="5" t="s">
        <v>726</v>
      </c>
      <c r="AZ17" s="5" t="s">
        <v>1381</v>
      </c>
      <c r="BA17" s="5" t="s">
        <v>1382</v>
      </c>
      <c r="BB17" s="5" t="s">
        <v>726</v>
      </c>
      <c r="BC17" s="5" t="s">
        <v>1383</v>
      </c>
      <c r="BD17" s="5" t="s">
        <v>1384</v>
      </c>
      <c r="BE17" s="5" t="s">
        <v>1385</v>
      </c>
      <c r="BF17" s="5" t="s">
        <v>1386</v>
      </c>
      <c r="BG17" s="5" t="s">
        <v>1387</v>
      </c>
      <c r="BH17" s="5" t="s">
        <v>1388</v>
      </c>
      <c r="BI17" s="5" t="s">
        <v>1208</v>
      </c>
      <c r="BJ17" s="5" t="s">
        <v>249</v>
      </c>
      <c r="BK17" s="6" t="s">
        <v>1389</v>
      </c>
    </row>
    <row r="18" spans="1:63" ht="262.2">
      <c r="A18" s="5" t="s">
        <v>251</v>
      </c>
      <c r="B18" s="5" t="s">
        <v>99</v>
      </c>
      <c r="C18" s="5" t="s">
        <v>700</v>
      </c>
      <c r="D18" s="5" t="s">
        <v>1390</v>
      </c>
      <c r="E18" s="5" t="s">
        <v>253</v>
      </c>
      <c r="F18" s="5" t="s">
        <v>101</v>
      </c>
      <c r="G18" s="5" t="s">
        <v>105</v>
      </c>
      <c r="H18" s="5" t="s">
        <v>106</v>
      </c>
      <c r="I18" s="5" t="s">
        <v>255</v>
      </c>
      <c r="J18" s="5" t="s">
        <v>257</v>
      </c>
      <c r="K18" s="5" t="s">
        <v>1391</v>
      </c>
      <c r="L18" s="5" t="s">
        <v>1392</v>
      </c>
      <c r="M18" s="5" t="s">
        <v>1393</v>
      </c>
      <c r="N18" s="5" t="s">
        <v>1394</v>
      </c>
      <c r="O18" s="5" t="s">
        <v>1395</v>
      </c>
      <c r="P18" s="5" t="s">
        <v>1396</v>
      </c>
      <c r="Q18" s="5" t="s">
        <v>1397</v>
      </c>
      <c r="R18" s="5" t="s">
        <v>1398</v>
      </c>
      <c r="S18" s="5" t="s">
        <v>1399</v>
      </c>
      <c r="T18" s="5" t="s">
        <v>1400</v>
      </c>
      <c r="U18" s="5" t="s">
        <v>1401</v>
      </c>
      <c r="V18" s="5" t="s">
        <v>1402</v>
      </c>
      <c r="W18" s="5" t="s">
        <v>1403</v>
      </c>
      <c r="X18" s="5" t="s">
        <v>1404</v>
      </c>
      <c r="Y18" s="5" t="s">
        <v>1405</v>
      </c>
      <c r="Z18" s="5" t="s">
        <v>1406</v>
      </c>
      <c r="AA18" s="5" t="s">
        <v>1407</v>
      </c>
      <c r="AB18" s="5" t="s">
        <v>1408</v>
      </c>
      <c r="AC18" s="5" t="s">
        <v>1409</v>
      </c>
      <c r="AD18" s="5" t="s">
        <v>1410</v>
      </c>
      <c r="AE18" s="5" t="s">
        <v>1411</v>
      </c>
      <c r="AF18" s="5" t="s">
        <v>1412</v>
      </c>
      <c r="AG18" s="5" t="s">
        <v>1413</v>
      </c>
      <c r="AH18" s="5" t="s">
        <v>1414</v>
      </c>
      <c r="AI18" s="5" t="s">
        <v>1415</v>
      </c>
      <c r="AJ18" s="5" t="s">
        <v>1416</v>
      </c>
      <c r="AK18" s="5" t="s">
        <v>1416</v>
      </c>
      <c r="AL18" s="5" t="s">
        <v>1417</v>
      </c>
      <c r="AM18" s="5" t="s">
        <v>1418</v>
      </c>
      <c r="AN18" s="5" t="s">
        <v>1419</v>
      </c>
      <c r="AO18" s="5" t="s">
        <v>1420</v>
      </c>
      <c r="AP18" s="5" t="s">
        <v>1421</v>
      </c>
      <c r="AQ18" s="5" t="s">
        <v>726</v>
      </c>
      <c r="AR18" s="5" t="s">
        <v>734</v>
      </c>
      <c r="AS18" s="5" t="s">
        <v>1422</v>
      </c>
      <c r="AT18" s="5" t="s">
        <v>1423</v>
      </c>
      <c r="AU18" s="5" t="s">
        <v>1424</v>
      </c>
      <c r="AV18" s="5" t="s">
        <v>1425</v>
      </c>
      <c r="AW18" s="5" t="s">
        <v>1426</v>
      </c>
      <c r="AX18" s="5" t="s">
        <v>1427</v>
      </c>
      <c r="AY18" s="5" t="s">
        <v>726</v>
      </c>
      <c r="AZ18" s="5" t="s">
        <v>726</v>
      </c>
      <c r="BA18" s="5" t="s">
        <v>726</v>
      </c>
      <c r="BB18" s="5" t="s">
        <v>1428</v>
      </c>
      <c r="BC18" s="5" t="s">
        <v>1429</v>
      </c>
      <c r="BD18" s="5" t="s">
        <v>1430</v>
      </c>
      <c r="BE18" s="5" t="s">
        <v>1431</v>
      </c>
      <c r="BF18" s="5" t="s">
        <v>1432</v>
      </c>
      <c r="BG18" s="5" t="s">
        <v>747</v>
      </c>
      <c r="BH18" s="5" t="s">
        <v>1433</v>
      </c>
      <c r="BI18" s="5" t="s">
        <v>749</v>
      </c>
      <c r="BJ18" s="5" t="s">
        <v>258</v>
      </c>
      <c r="BK18" s="6" t="s">
        <v>1434</v>
      </c>
    </row>
    <row r="19" spans="1:63" ht="67.2" customHeight="1">
      <c r="A19" s="5" t="s">
        <v>259</v>
      </c>
      <c r="B19" s="5" t="s">
        <v>108</v>
      </c>
      <c r="C19" s="5" t="s">
        <v>1435</v>
      </c>
      <c r="D19" s="5" t="s">
        <v>1436</v>
      </c>
      <c r="E19" s="5" t="s">
        <v>262</v>
      </c>
      <c r="F19" s="5" t="s">
        <v>119</v>
      </c>
      <c r="G19" s="5" t="s">
        <v>105</v>
      </c>
      <c r="H19" s="5" t="s">
        <v>106</v>
      </c>
      <c r="I19" s="5" t="s">
        <v>264</v>
      </c>
      <c r="J19" s="5" t="s">
        <v>266</v>
      </c>
      <c r="K19" s="5" t="s">
        <v>1437</v>
      </c>
      <c r="L19" s="5" t="s">
        <v>1438</v>
      </c>
      <c r="M19" s="5" t="s">
        <v>1439</v>
      </c>
      <c r="N19" s="5" t="s">
        <v>1440</v>
      </c>
      <c r="O19" s="5" t="s">
        <v>1441</v>
      </c>
      <c r="P19" s="5" t="s">
        <v>1442</v>
      </c>
      <c r="Q19" s="5" t="s">
        <v>1443</v>
      </c>
      <c r="R19" s="5" t="s">
        <v>1444</v>
      </c>
      <c r="S19" s="5" t="s">
        <v>1445</v>
      </c>
      <c r="T19" s="5" t="s">
        <v>1446</v>
      </c>
      <c r="U19" s="5" t="s">
        <v>726</v>
      </c>
      <c r="V19" s="5" t="s">
        <v>726</v>
      </c>
      <c r="W19" s="5" t="s">
        <v>1447</v>
      </c>
      <c r="X19" s="5" t="s">
        <v>1448</v>
      </c>
      <c r="Y19" s="5" t="s">
        <v>1449</v>
      </c>
      <c r="Z19" s="5" t="s">
        <v>1450</v>
      </c>
      <c r="AA19" s="5" t="s">
        <v>726</v>
      </c>
      <c r="AB19" s="5" t="s">
        <v>1451</v>
      </c>
      <c r="AC19" s="5" t="s">
        <v>1452</v>
      </c>
      <c r="AD19" s="5" t="s">
        <v>1453</v>
      </c>
      <c r="AE19" s="5" t="s">
        <v>1454</v>
      </c>
      <c r="AF19" s="5" t="s">
        <v>1455</v>
      </c>
      <c r="AG19" s="5" t="s">
        <v>1456</v>
      </c>
      <c r="AH19" s="5" t="s">
        <v>1457</v>
      </c>
      <c r="AI19" s="5" t="s">
        <v>726</v>
      </c>
      <c r="AJ19" s="5" t="s">
        <v>1458</v>
      </c>
      <c r="AK19" s="5" t="s">
        <v>1459</v>
      </c>
      <c r="AL19" s="5" t="s">
        <v>726</v>
      </c>
      <c r="AM19" s="5" t="s">
        <v>1460</v>
      </c>
      <c r="AN19" s="5" t="s">
        <v>1461</v>
      </c>
      <c r="AO19" s="5" t="s">
        <v>1462</v>
      </c>
      <c r="AP19" s="5" t="s">
        <v>1463</v>
      </c>
      <c r="AQ19" s="5" t="s">
        <v>726</v>
      </c>
      <c r="AR19" s="5" t="s">
        <v>1464</v>
      </c>
      <c r="AS19" s="5" t="s">
        <v>1465</v>
      </c>
      <c r="AT19" s="5" t="s">
        <v>1466</v>
      </c>
      <c r="AU19" s="5" t="s">
        <v>726</v>
      </c>
      <c r="AV19" s="5" t="s">
        <v>1467</v>
      </c>
      <c r="AW19" s="5" t="s">
        <v>1468</v>
      </c>
      <c r="AX19" s="5" t="s">
        <v>1469</v>
      </c>
      <c r="AY19" s="5" t="s">
        <v>726</v>
      </c>
      <c r="AZ19" s="5" t="s">
        <v>1470</v>
      </c>
      <c r="BA19" s="5" t="s">
        <v>1471</v>
      </c>
      <c r="BB19" s="5" t="s">
        <v>1472</v>
      </c>
      <c r="BC19" s="5" t="s">
        <v>1473</v>
      </c>
      <c r="BD19" s="5" t="s">
        <v>1474</v>
      </c>
      <c r="BE19" s="5" t="s">
        <v>1475</v>
      </c>
      <c r="BF19" s="5" t="s">
        <v>1476</v>
      </c>
      <c r="BG19" s="5" t="s">
        <v>1242</v>
      </c>
      <c r="BH19" s="5" t="s">
        <v>1477</v>
      </c>
      <c r="BI19" s="5" t="s">
        <v>1478</v>
      </c>
      <c r="BJ19" s="5" t="s">
        <v>268</v>
      </c>
      <c r="BK19" s="6" t="s">
        <v>1479</v>
      </c>
    </row>
    <row r="20" spans="1:63" ht="67.2" customHeight="1">
      <c r="A20" s="5" t="s">
        <v>270</v>
      </c>
      <c r="B20" s="5" t="s">
        <v>108</v>
      </c>
      <c r="C20" s="5" t="s">
        <v>1161</v>
      </c>
      <c r="D20" s="5" t="s">
        <v>1480</v>
      </c>
      <c r="E20" s="5" t="s">
        <v>272</v>
      </c>
      <c r="F20" s="5" t="s">
        <v>101</v>
      </c>
      <c r="G20" s="5" t="s">
        <v>105</v>
      </c>
      <c r="H20" s="5" t="s">
        <v>106</v>
      </c>
      <c r="I20" s="5" t="s">
        <v>274</v>
      </c>
      <c r="J20" s="5" t="s">
        <v>276</v>
      </c>
      <c r="K20" s="5" t="s">
        <v>1481</v>
      </c>
      <c r="L20" s="5" t="s">
        <v>1482</v>
      </c>
      <c r="M20" s="5" t="s">
        <v>1483</v>
      </c>
      <c r="N20" s="5" t="s">
        <v>1484</v>
      </c>
      <c r="O20" s="5" t="s">
        <v>1485</v>
      </c>
      <c r="P20" s="5" t="s">
        <v>1486</v>
      </c>
      <c r="Q20" s="5" t="s">
        <v>1487</v>
      </c>
      <c r="R20" s="5" t="s">
        <v>1488</v>
      </c>
      <c r="S20" s="5" t="s">
        <v>1489</v>
      </c>
      <c r="T20" s="5" t="s">
        <v>1490</v>
      </c>
      <c r="U20" s="5" t="s">
        <v>1491</v>
      </c>
      <c r="V20" s="5" t="s">
        <v>1492</v>
      </c>
      <c r="W20" s="5" t="s">
        <v>1493</v>
      </c>
      <c r="X20" s="5" t="s">
        <v>1494</v>
      </c>
      <c r="Y20" s="5" t="s">
        <v>1495</v>
      </c>
      <c r="Z20" s="5" t="s">
        <v>1496</v>
      </c>
      <c r="AA20" s="5" t="s">
        <v>1497</v>
      </c>
      <c r="AB20" s="5" t="s">
        <v>1498</v>
      </c>
      <c r="AC20" s="5" t="s">
        <v>1499</v>
      </c>
      <c r="AD20" s="5" t="s">
        <v>1500</v>
      </c>
      <c r="AE20" s="5" t="s">
        <v>1501</v>
      </c>
      <c r="AF20" s="5" t="s">
        <v>1502</v>
      </c>
      <c r="AG20" s="5" t="s">
        <v>1503</v>
      </c>
      <c r="AH20" s="5" t="s">
        <v>1504</v>
      </c>
      <c r="AI20" s="5" t="s">
        <v>726</v>
      </c>
      <c r="AJ20" s="5" t="s">
        <v>1505</v>
      </c>
      <c r="AK20" s="5" t="s">
        <v>726</v>
      </c>
      <c r="AL20" s="5" t="s">
        <v>1506</v>
      </c>
      <c r="AM20" s="5" t="s">
        <v>1507</v>
      </c>
      <c r="AN20" s="5" t="s">
        <v>1508</v>
      </c>
      <c r="AO20" s="5" t="s">
        <v>1509</v>
      </c>
      <c r="AP20" s="5" t="s">
        <v>726</v>
      </c>
      <c r="AQ20" s="5" t="s">
        <v>1510</v>
      </c>
      <c r="AR20" s="5" t="s">
        <v>1511</v>
      </c>
      <c r="AS20" s="5" t="s">
        <v>1512</v>
      </c>
      <c r="AT20" s="5" t="s">
        <v>1513</v>
      </c>
      <c r="AU20" s="5" t="s">
        <v>1514</v>
      </c>
      <c r="AV20" s="5" t="s">
        <v>1515</v>
      </c>
      <c r="AW20" s="5" t="s">
        <v>1516</v>
      </c>
      <c r="AX20" s="5" t="s">
        <v>1517</v>
      </c>
      <c r="AY20" s="5" t="s">
        <v>1518</v>
      </c>
      <c r="AZ20" s="5" t="s">
        <v>1519</v>
      </c>
      <c r="BA20" s="5" t="s">
        <v>1520</v>
      </c>
      <c r="BB20" s="5" t="s">
        <v>1521</v>
      </c>
      <c r="BC20" s="5" t="s">
        <v>1522</v>
      </c>
      <c r="BD20" s="5" t="s">
        <v>1523</v>
      </c>
      <c r="BE20" s="5" t="s">
        <v>1524</v>
      </c>
      <c r="BF20" s="5" t="s">
        <v>1525</v>
      </c>
      <c r="BG20" s="5" t="s">
        <v>747</v>
      </c>
      <c r="BH20" s="5" t="s">
        <v>1526</v>
      </c>
      <c r="BI20" s="5" t="s">
        <v>1208</v>
      </c>
      <c r="BJ20" s="5" t="s">
        <v>277</v>
      </c>
      <c r="BK20" s="6" t="s">
        <v>1527</v>
      </c>
    </row>
    <row r="21" spans="1:63" ht="67.2" customHeight="1">
      <c r="A21" s="5" t="s">
        <v>279</v>
      </c>
      <c r="B21" s="5" t="s">
        <v>108</v>
      </c>
      <c r="C21" s="5" t="s">
        <v>1528</v>
      </c>
      <c r="D21" s="5" t="s">
        <v>1529</v>
      </c>
      <c r="E21" s="5" t="s">
        <v>282</v>
      </c>
      <c r="F21" s="5" t="s">
        <v>101</v>
      </c>
      <c r="G21" s="5" t="s">
        <v>284</v>
      </c>
      <c r="H21" s="5" t="s">
        <v>106</v>
      </c>
      <c r="I21" s="5" t="s">
        <v>285</v>
      </c>
      <c r="J21" s="5" t="s">
        <v>287</v>
      </c>
      <c r="K21" s="5" t="s">
        <v>1530</v>
      </c>
      <c r="L21" s="5" t="s">
        <v>1531</v>
      </c>
      <c r="M21" s="5" t="s">
        <v>1532</v>
      </c>
      <c r="N21" s="5" t="s">
        <v>1533</v>
      </c>
      <c r="O21" s="5" t="s">
        <v>1534</v>
      </c>
      <c r="P21" s="5" t="s">
        <v>1535</v>
      </c>
      <c r="Q21" s="5" t="s">
        <v>1536</v>
      </c>
      <c r="R21" s="5" t="s">
        <v>1537</v>
      </c>
      <c r="S21" s="5" t="s">
        <v>1538</v>
      </c>
      <c r="T21" s="5" t="s">
        <v>867</v>
      </c>
      <c r="U21" s="5" t="s">
        <v>1539</v>
      </c>
      <c r="V21" s="5" t="s">
        <v>867</v>
      </c>
      <c r="W21" s="5" t="s">
        <v>1540</v>
      </c>
      <c r="X21" s="5" t="s">
        <v>867</v>
      </c>
      <c r="Y21" s="5" t="s">
        <v>1541</v>
      </c>
      <c r="Z21" s="5" t="s">
        <v>1542</v>
      </c>
      <c r="AA21" s="5" t="s">
        <v>867</v>
      </c>
      <c r="AB21" s="5" t="s">
        <v>1543</v>
      </c>
      <c r="AC21" s="5" t="s">
        <v>867</v>
      </c>
      <c r="AD21" s="5" t="s">
        <v>1544</v>
      </c>
      <c r="AE21" s="5" t="s">
        <v>1545</v>
      </c>
      <c r="AF21" s="5" t="s">
        <v>1546</v>
      </c>
      <c r="AG21" s="5" t="s">
        <v>1547</v>
      </c>
      <c r="AH21" s="5" t="s">
        <v>1548</v>
      </c>
      <c r="AI21" s="5" t="s">
        <v>867</v>
      </c>
      <c r="AJ21" s="5" t="s">
        <v>867</v>
      </c>
      <c r="AK21" s="5" t="s">
        <v>867</v>
      </c>
      <c r="AL21" s="5" t="s">
        <v>867</v>
      </c>
      <c r="AM21" s="5" t="s">
        <v>1549</v>
      </c>
      <c r="AN21" s="5" t="s">
        <v>1550</v>
      </c>
      <c r="AO21" s="5" t="s">
        <v>1551</v>
      </c>
      <c r="AP21" s="5" t="s">
        <v>1149</v>
      </c>
      <c r="AQ21" s="5" t="s">
        <v>1552</v>
      </c>
      <c r="AR21" s="5" t="s">
        <v>1553</v>
      </c>
      <c r="AS21" s="5" t="s">
        <v>867</v>
      </c>
      <c r="AT21" s="5" t="s">
        <v>1554</v>
      </c>
      <c r="AU21" s="5" t="s">
        <v>867</v>
      </c>
      <c r="AV21" s="5" t="s">
        <v>867</v>
      </c>
      <c r="AW21" s="5" t="s">
        <v>867</v>
      </c>
      <c r="AX21" s="5" t="s">
        <v>1555</v>
      </c>
      <c r="AY21" s="5" t="s">
        <v>867</v>
      </c>
      <c r="AZ21" s="5" t="s">
        <v>867</v>
      </c>
      <c r="BA21" s="5" t="s">
        <v>867</v>
      </c>
      <c r="BB21" s="5" t="s">
        <v>867</v>
      </c>
      <c r="BC21" s="5" t="s">
        <v>867</v>
      </c>
      <c r="BD21" s="5" t="s">
        <v>1556</v>
      </c>
      <c r="BE21" s="5" t="s">
        <v>1557</v>
      </c>
      <c r="BF21" s="5" t="s">
        <v>1558</v>
      </c>
      <c r="BG21" s="5" t="s">
        <v>747</v>
      </c>
      <c r="BH21" s="5" t="s">
        <v>1559</v>
      </c>
      <c r="BI21" s="5" t="s">
        <v>1560</v>
      </c>
      <c r="BJ21" s="5" t="s">
        <v>289</v>
      </c>
      <c r="BK21" s="6" t="s">
        <v>1561</v>
      </c>
    </row>
    <row r="22" spans="1:63" ht="67.2" customHeight="1">
      <c r="A22" s="5" t="s">
        <v>291</v>
      </c>
      <c r="B22" s="5" t="s">
        <v>108</v>
      </c>
      <c r="C22" s="5" t="s">
        <v>1562</v>
      </c>
      <c r="D22" s="5" t="s">
        <v>1529</v>
      </c>
      <c r="E22" s="5" t="s">
        <v>293</v>
      </c>
      <c r="F22" s="5" t="s">
        <v>101</v>
      </c>
      <c r="G22" s="5" t="s">
        <v>105</v>
      </c>
      <c r="H22" s="5" t="s">
        <v>106</v>
      </c>
      <c r="I22" s="5" t="s">
        <v>295</v>
      </c>
      <c r="J22" s="5" t="s">
        <v>190</v>
      </c>
      <c r="K22" s="5" t="s">
        <v>1563</v>
      </c>
      <c r="L22" s="5" t="s">
        <v>1564</v>
      </c>
      <c r="M22" s="5" t="s">
        <v>1565</v>
      </c>
      <c r="N22" s="5" t="s">
        <v>1566</v>
      </c>
      <c r="O22" s="5" t="s">
        <v>1567</v>
      </c>
      <c r="P22" s="5" t="s">
        <v>1568</v>
      </c>
      <c r="Q22" s="5" t="s">
        <v>1569</v>
      </c>
      <c r="R22" s="5" t="s">
        <v>1570</v>
      </c>
      <c r="S22" s="5" t="s">
        <v>1571</v>
      </c>
      <c r="T22" s="5" t="s">
        <v>1572</v>
      </c>
      <c r="U22" s="5" t="s">
        <v>1573</v>
      </c>
      <c r="V22" s="5" t="s">
        <v>726</v>
      </c>
      <c r="W22" s="5" t="s">
        <v>1574</v>
      </c>
      <c r="X22" s="5" t="s">
        <v>1575</v>
      </c>
      <c r="Y22" s="5" t="s">
        <v>1576</v>
      </c>
      <c r="Z22" s="5" t="s">
        <v>1577</v>
      </c>
      <c r="AA22" s="5" t="s">
        <v>726</v>
      </c>
      <c r="AB22" s="5" t="s">
        <v>1578</v>
      </c>
      <c r="AC22" s="5" t="s">
        <v>1579</v>
      </c>
      <c r="AD22" s="5" t="s">
        <v>1580</v>
      </c>
      <c r="AE22" s="5" t="s">
        <v>1581</v>
      </c>
      <c r="AF22" s="5" t="s">
        <v>1582</v>
      </c>
      <c r="AG22" s="5" t="s">
        <v>1583</v>
      </c>
      <c r="AH22" s="5" t="s">
        <v>726</v>
      </c>
      <c r="AI22" s="5" t="s">
        <v>726</v>
      </c>
      <c r="AJ22" s="5" t="s">
        <v>1584</v>
      </c>
      <c r="AK22" s="5" t="s">
        <v>1585</v>
      </c>
      <c r="AL22" s="5" t="s">
        <v>1586</v>
      </c>
      <c r="AM22" s="5" t="s">
        <v>1587</v>
      </c>
      <c r="AN22" s="5" t="s">
        <v>726</v>
      </c>
      <c r="AO22" s="5" t="s">
        <v>726</v>
      </c>
      <c r="AP22" s="5" t="s">
        <v>726</v>
      </c>
      <c r="AQ22" s="5" t="s">
        <v>726</v>
      </c>
      <c r="AR22" s="5" t="s">
        <v>1588</v>
      </c>
      <c r="AS22" s="5" t="s">
        <v>1589</v>
      </c>
      <c r="AT22" s="5" t="s">
        <v>1590</v>
      </c>
      <c r="AU22" s="5" t="s">
        <v>1591</v>
      </c>
      <c r="AV22" s="5" t="s">
        <v>1592</v>
      </c>
      <c r="AW22" s="5" t="s">
        <v>1593</v>
      </c>
      <c r="AX22" s="5" t="s">
        <v>1594</v>
      </c>
      <c r="AY22" s="5" t="s">
        <v>726</v>
      </c>
      <c r="AZ22" s="5" t="s">
        <v>1595</v>
      </c>
      <c r="BA22" s="5" t="s">
        <v>1596</v>
      </c>
      <c r="BB22" s="5" t="s">
        <v>1597</v>
      </c>
      <c r="BC22" s="5" t="s">
        <v>1598</v>
      </c>
      <c r="BD22" s="5" t="s">
        <v>1599</v>
      </c>
      <c r="BE22" s="5" t="s">
        <v>1600</v>
      </c>
      <c r="BF22" s="5" t="s">
        <v>1601</v>
      </c>
      <c r="BG22" s="5" t="s">
        <v>1242</v>
      </c>
      <c r="BH22" s="5" t="s">
        <v>1602</v>
      </c>
      <c r="BI22" s="5" t="s">
        <v>1478</v>
      </c>
      <c r="BJ22" s="5" t="s">
        <v>297</v>
      </c>
      <c r="BK22" s="6" t="s">
        <v>1603</v>
      </c>
    </row>
    <row r="23" spans="1:63" ht="70.349999999999994" customHeight="1">
      <c r="A23" s="5" t="s">
        <v>299</v>
      </c>
      <c r="B23" s="5" t="s">
        <v>108</v>
      </c>
      <c r="C23" s="5" t="s">
        <v>1604</v>
      </c>
      <c r="D23" s="5" t="s">
        <v>1605</v>
      </c>
      <c r="E23" s="5" t="s">
        <v>302</v>
      </c>
      <c r="F23" s="5" t="s">
        <v>101</v>
      </c>
      <c r="G23" s="5" t="s">
        <v>105</v>
      </c>
      <c r="H23" s="5" t="s">
        <v>106</v>
      </c>
      <c r="I23" s="5" t="s">
        <v>304</v>
      </c>
      <c r="J23" s="5" t="s">
        <v>190</v>
      </c>
      <c r="K23" s="5" t="s">
        <v>1606</v>
      </c>
      <c r="L23" s="5" t="s">
        <v>1607</v>
      </c>
      <c r="M23" s="5" t="s">
        <v>1608</v>
      </c>
      <c r="N23" s="5" t="s">
        <v>1609</v>
      </c>
      <c r="O23" s="5" t="s">
        <v>1610</v>
      </c>
      <c r="P23" s="5" t="s">
        <v>1611</v>
      </c>
      <c r="Q23" s="5" t="s">
        <v>1612</v>
      </c>
      <c r="R23" s="5" t="s">
        <v>1613</v>
      </c>
      <c r="S23" s="5" t="s">
        <v>1614</v>
      </c>
      <c r="T23" s="5" t="s">
        <v>1615</v>
      </c>
      <c r="U23" s="5" t="s">
        <v>1616</v>
      </c>
      <c r="V23" s="5" t="s">
        <v>1617</v>
      </c>
      <c r="W23" s="5" t="s">
        <v>1618</v>
      </c>
      <c r="X23" s="5" t="s">
        <v>1619</v>
      </c>
      <c r="Y23" s="5" t="s">
        <v>1620</v>
      </c>
      <c r="Z23" s="5" t="s">
        <v>1621</v>
      </c>
      <c r="AA23" s="5" t="s">
        <v>1622</v>
      </c>
      <c r="AB23" s="5" t="s">
        <v>1623</v>
      </c>
      <c r="AC23" s="5" t="s">
        <v>1624</v>
      </c>
      <c r="AD23" s="5" t="s">
        <v>1625</v>
      </c>
      <c r="AE23" s="5" t="s">
        <v>1626</v>
      </c>
      <c r="AF23" s="5" t="s">
        <v>723</v>
      </c>
      <c r="AG23" s="5" t="s">
        <v>1627</v>
      </c>
      <c r="AH23" s="5" t="s">
        <v>1628</v>
      </c>
      <c r="AI23" s="5" t="s">
        <v>1629</v>
      </c>
      <c r="AJ23" s="5" t="s">
        <v>1630</v>
      </c>
      <c r="AK23" s="5" t="s">
        <v>1631</v>
      </c>
      <c r="AL23" s="5" t="s">
        <v>1632</v>
      </c>
      <c r="AM23" s="5" t="s">
        <v>1633</v>
      </c>
      <c r="AN23" s="5" t="s">
        <v>1634</v>
      </c>
      <c r="AO23" s="5" t="s">
        <v>1635</v>
      </c>
      <c r="AP23" s="5" t="s">
        <v>1636</v>
      </c>
      <c r="AQ23" s="5" t="s">
        <v>1637</v>
      </c>
      <c r="AR23" s="5" t="s">
        <v>1638</v>
      </c>
      <c r="AS23" s="5" t="s">
        <v>1639</v>
      </c>
      <c r="AT23" s="5" t="s">
        <v>1640</v>
      </c>
      <c r="AU23" s="5" t="s">
        <v>1641</v>
      </c>
      <c r="AV23" s="5" t="s">
        <v>1642</v>
      </c>
      <c r="AW23" s="5" t="s">
        <v>1643</v>
      </c>
      <c r="AX23" s="5" t="s">
        <v>1644</v>
      </c>
      <c r="AY23" s="5" t="s">
        <v>1645</v>
      </c>
      <c r="AZ23" s="5" t="s">
        <v>1646</v>
      </c>
      <c r="BA23" s="5" t="s">
        <v>1647</v>
      </c>
      <c r="BB23" s="5" t="s">
        <v>1648</v>
      </c>
      <c r="BC23" s="5" t="s">
        <v>1649</v>
      </c>
      <c r="BD23" s="5" t="s">
        <v>1650</v>
      </c>
      <c r="BE23" s="5" t="s">
        <v>1651</v>
      </c>
      <c r="BF23" s="5" t="s">
        <v>1652</v>
      </c>
      <c r="BG23" s="5" t="s">
        <v>1387</v>
      </c>
      <c r="BH23" s="5" t="s">
        <v>1653</v>
      </c>
      <c r="BI23" s="5" t="s">
        <v>1654</v>
      </c>
      <c r="BJ23" s="5" t="s">
        <v>306</v>
      </c>
      <c r="BK23" s="6" t="s">
        <v>1655</v>
      </c>
    </row>
    <row r="24" spans="1:63" ht="70.349999999999994" customHeight="1">
      <c r="A24" s="5" t="s">
        <v>308</v>
      </c>
      <c r="B24" s="5" t="s">
        <v>108</v>
      </c>
      <c r="C24" s="5" t="s">
        <v>1656</v>
      </c>
      <c r="D24" s="5" t="s">
        <v>1657</v>
      </c>
      <c r="E24" s="5" t="s">
        <v>311</v>
      </c>
      <c r="F24" s="5" t="s">
        <v>166</v>
      </c>
      <c r="G24" s="5" t="s">
        <v>105</v>
      </c>
      <c r="H24" s="5" t="s">
        <v>106</v>
      </c>
      <c r="I24" s="5" t="s">
        <v>313</v>
      </c>
      <c r="J24" s="5" t="s">
        <v>231</v>
      </c>
      <c r="K24" s="5" t="s">
        <v>1658</v>
      </c>
      <c r="L24" s="5" t="s">
        <v>1659</v>
      </c>
      <c r="M24" s="5" t="s">
        <v>1660</v>
      </c>
      <c r="N24" s="5" t="s">
        <v>1661</v>
      </c>
      <c r="O24" s="5" t="s">
        <v>1662</v>
      </c>
      <c r="P24" s="5" t="s">
        <v>1663</v>
      </c>
      <c r="Q24" s="5" t="s">
        <v>1664</v>
      </c>
      <c r="R24" s="5" t="s">
        <v>1665</v>
      </c>
      <c r="S24" s="5" t="s">
        <v>1666</v>
      </c>
      <c r="T24" s="5" t="s">
        <v>726</v>
      </c>
      <c r="U24" s="5" t="s">
        <v>726</v>
      </c>
      <c r="V24" s="5" t="s">
        <v>726</v>
      </c>
      <c r="W24" s="5" t="s">
        <v>1667</v>
      </c>
      <c r="X24" s="5" t="s">
        <v>1668</v>
      </c>
      <c r="Y24" s="5" t="s">
        <v>1669</v>
      </c>
      <c r="Z24" s="5" t="s">
        <v>1670</v>
      </c>
      <c r="AA24" s="5" t="s">
        <v>726</v>
      </c>
      <c r="AB24" s="5" t="s">
        <v>1671</v>
      </c>
      <c r="AC24" s="5" t="s">
        <v>1672</v>
      </c>
      <c r="AD24" s="5" t="s">
        <v>1673</v>
      </c>
      <c r="AE24" s="5" t="s">
        <v>1674</v>
      </c>
      <c r="AF24" s="5" t="s">
        <v>1675</v>
      </c>
      <c r="AG24" s="5" t="s">
        <v>1676</v>
      </c>
      <c r="AH24" s="5" t="s">
        <v>1677</v>
      </c>
      <c r="AI24" s="5" t="s">
        <v>726</v>
      </c>
      <c r="AJ24" s="5" t="s">
        <v>726</v>
      </c>
      <c r="AK24" s="5" t="s">
        <v>726</v>
      </c>
      <c r="AL24" s="5" t="s">
        <v>1668</v>
      </c>
      <c r="AM24" s="5" t="s">
        <v>1678</v>
      </c>
      <c r="AN24" s="5" t="s">
        <v>1679</v>
      </c>
      <c r="AO24" s="5" t="s">
        <v>1680</v>
      </c>
      <c r="AP24" s="5" t="s">
        <v>1681</v>
      </c>
      <c r="AQ24" s="5" t="s">
        <v>1682</v>
      </c>
      <c r="AR24" s="5" t="s">
        <v>1683</v>
      </c>
      <c r="AS24" s="5" t="s">
        <v>1684</v>
      </c>
      <c r="AT24" s="5" t="s">
        <v>1685</v>
      </c>
      <c r="AU24" s="5" t="s">
        <v>726</v>
      </c>
      <c r="AV24" s="5" t="s">
        <v>1686</v>
      </c>
      <c r="AW24" s="5" t="s">
        <v>726</v>
      </c>
      <c r="AX24" s="5" t="s">
        <v>1687</v>
      </c>
      <c r="AY24" s="5" t="s">
        <v>1688</v>
      </c>
      <c r="AZ24" s="5" t="s">
        <v>726</v>
      </c>
      <c r="BA24" s="5" t="s">
        <v>726</v>
      </c>
      <c r="BB24" s="5" t="s">
        <v>1689</v>
      </c>
      <c r="BC24" s="5" t="s">
        <v>1690</v>
      </c>
      <c r="BD24" s="5" t="s">
        <v>1691</v>
      </c>
      <c r="BE24" s="5" t="s">
        <v>1692</v>
      </c>
      <c r="BF24" s="5" t="s">
        <v>1693</v>
      </c>
      <c r="BG24" s="5" t="s">
        <v>1242</v>
      </c>
      <c r="BH24" s="5" t="s">
        <v>1694</v>
      </c>
      <c r="BI24" s="5" t="s">
        <v>1695</v>
      </c>
      <c r="BJ24" s="5" t="s">
        <v>315</v>
      </c>
      <c r="BK24" s="6" t="s">
        <v>1696</v>
      </c>
    </row>
    <row r="25" spans="1:63" ht="70.349999999999994" customHeight="1">
      <c r="A25" s="5" t="s">
        <v>317</v>
      </c>
      <c r="B25" s="5" t="s">
        <v>108</v>
      </c>
      <c r="C25" s="5" t="s">
        <v>1604</v>
      </c>
      <c r="D25" s="5" t="s">
        <v>1605</v>
      </c>
      <c r="E25" s="5" t="s">
        <v>319</v>
      </c>
      <c r="F25" s="5" t="s">
        <v>101</v>
      </c>
      <c r="G25" s="5" t="s">
        <v>105</v>
      </c>
      <c r="H25" s="5" t="s">
        <v>106</v>
      </c>
      <c r="I25" s="5" t="s">
        <v>321</v>
      </c>
      <c r="J25" s="5" t="s">
        <v>126</v>
      </c>
      <c r="K25" s="5" t="s">
        <v>1697</v>
      </c>
      <c r="L25" s="5" t="s">
        <v>1698</v>
      </c>
      <c r="M25" s="5" t="s">
        <v>1699</v>
      </c>
      <c r="N25" s="5" t="s">
        <v>1700</v>
      </c>
      <c r="O25" s="5" t="s">
        <v>1701</v>
      </c>
      <c r="P25" s="5" t="s">
        <v>1702</v>
      </c>
      <c r="Q25" s="5" t="s">
        <v>1703</v>
      </c>
      <c r="R25" s="5" t="s">
        <v>1704</v>
      </c>
      <c r="S25" s="5" t="s">
        <v>1705</v>
      </c>
      <c r="T25" s="5" t="s">
        <v>1706</v>
      </c>
      <c r="U25" s="5" t="s">
        <v>1707</v>
      </c>
      <c r="V25" s="5" t="s">
        <v>1708</v>
      </c>
      <c r="W25" s="5" t="s">
        <v>1709</v>
      </c>
      <c r="X25" s="5" t="s">
        <v>1710</v>
      </c>
      <c r="Y25" s="5" t="s">
        <v>1711</v>
      </c>
      <c r="Z25" s="5" t="s">
        <v>1712</v>
      </c>
      <c r="AA25" s="5" t="s">
        <v>1713</v>
      </c>
      <c r="AB25" s="5" t="s">
        <v>1714</v>
      </c>
      <c r="AC25" s="5" t="s">
        <v>1715</v>
      </c>
      <c r="AD25" s="5" t="s">
        <v>1716</v>
      </c>
      <c r="AE25" s="5" t="s">
        <v>1717</v>
      </c>
      <c r="AF25" s="5" t="s">
        <v>1718</v>
      </c>
      <c r="AG25" s="5" t="s">
        <v>1719</v>
      </c>
      <c r="AH25" s="5" t="s">
        <v>1720</v>
      </c>
      <c r="AI25" s="5" t="s">
        <v>1100</v>
      </c>
      <c r="AJ25" s="5" t="s">
        <v>1721</v>
      </c>
      <c r="AK25" s="5" t="s">
        <v>1722</v>
      </c>
      <c r="AL25" s="5" t="s">
        <v>1723</v>
      </c>
      <c r="AM25" s="5" t="s">
        <v>1724</v>
      </c>
      <c r="AN25" s="5" t="s">
        <v>1725</v>
      </c>
      <c r="AO25" s="5" t="s">
        <v>1726</v>
      </c>
      <c r="AP25" s="5" t="s">
        <v>1727</v>
      </c>
      <c r="AQ25" s="5" t="s">
        <v>1728</v>
      </c>
      <c r="AR25" s="5" t="s">
        <v>1729</v>
      </c>
      <c r="AS25" s="5" t="s">
        <v>1730</v>
      </c>
      <c r="AT25" s="5" t="s">
        <v>1731</v>
      </c>
      <c r="AU25" s="5" t="s">
        <v>1732</v>
      </c>
      <c r="AV25" s="5" t="s">
        <v>1733</v>
      </c>
      <c r="AW25" s="5" t="s">
        <v>1734</v>
      </c>
      <c r="AX25" s="5" t="s">
        <v>1735</v>
      </c>
      <c r="AY25" s="5" t="s">
        <v>726</v>
      </c>
      <c r="AZ25" s="5" t="s">
        <v>1736</v>
      </c>
      <c r="BA25" s="5" t="s">
        <v>1737</v>
      </c>
      <c r="BB25" s="5" t="s">
        <v>1738</v>
      </c>
      <c r="BC25" s="5" t="s">
        <v>1739</v>
      </c>
      <c r="BD25" s="5" t="s">
        <v>1740</v>
      </c>
      <c r="BE25" s="5" t="s">
        <v>1741</v>
      </c>
      <c r="BF25" s="5" t="s">
        <v>1742</v>
      </c>
      <c r="BG25" s="5" t="s">
        <v>747</v>
      </c>
      <c r="BH25" s="5" t="s">
        <v>1743</v>
      </c>
      <c r="BI25" s="5" t="s">
        <v>1654</v>
      </c>
      <c r="BJ25" s="5" t="s">
        <v>323</v>
      </c>
      <c r="BK25" s="6" t="s">
        <v>1744</v>
      </c>
    </row>
    <row r="26" spans="1:63" ht="70.349999999999994" customHeight="1">
      <c r="A26" s="5" t="s">
        <v>325</v>
      </c>
      <c r="B26" s="5" t="s">
        <v>108</v>
      </c>
      <c r="C26" s="5" t="s">
        <v>1604</v>
      </c>
      <c r="D26" s="5" t="s">
        <v>1295</v>
      </c>
      <c r="E26" s="5" t="s">
        <v>327</v>
      </c>
      <c r="F26" s="5" t="s">
        <v>101</v>
      </c>
      <c r="G26" s="5" t="s">
        <v>105</v>
      </c>
      <c r="H26" s="5" t="s">
        <v>106</v>
      </c>
      <c r="I26" s="5" t="s">
        <v>329</v>
      </c>
      <c r="J26" s="5" t="s">
        <v>331</v>
      </c>
      <c r="K26" s="5" t="s">
        <v>1745</v>
      </c>
      <c r="L26" s="5" t="s">
        <v>1746</v>
      </c>
      <c r="M26" s="5" t="s">
        <v>1747</v>
      </c>
      <c r="N26" s="5" t="s">
        <v>1748</v>
      </c>
      <c r="O26" s="5" t="s">
        <v>1749</v>
      </c>
      <c r="P26" s="5" t="s">
        <v>1750</v>
      </c>
      <c r="Q26" s="5" t="s">
        <v>1751</v>
      </c>
      <c r="R26" s="5" t="s">
        <v>1752</v>
      </c>
      <c r="S26" s="5" t="s">
        <v>1753</v>
      </c>
      <c r="T26" s="5" t="s">
        <v>1754</v>
      </c>
      <c r="U26" s="5" t="s">
        <v>1755</v>
      </c>
      <c r="V26" s="5" t="s">
        <v>1756</v>
      </c>
      <c r="W26" s="5" t="s">
        <v>1757</v>
      </c>
      <c r="X26" s="5" t="s">
        <v>1758</v>
      </c>
      <c r="Y26" s="5" t="s">
        <v>1759</v>
      </c>
      <c r="Z26" s="5" t="s">
        <v>1760</v>
      </c>
      <c r="AA26" s="5" t="s">
        <v>1761</v>
      </c>
      <c r="AB26" s="5" t="s">
        <v>1762</v>
      </c>
      <c r="AC26" s="5" t="s">
        <v>1763</v>
      </c>
      <c r="AD26" s="5" t="s">
        <v>1764</v>
      </c>
      <c r="AE26" s="5" t="s">
        <v>1765</v>
      </c>
      <c r="AF26" s="5" t="s">
        <v>1766</v>
      </c>
      <c r="AG26" s="5" t="s">
        <v>1767</v>
      </c>
      <c r="AH26" s="5" t="s">
        <v>1768</v>
      </c>
      <c r="AI26" s="5" t="s">
        <v>1769</v>
      </c>
      <c r="AJ26" s="5" t="s">
        <v>1770</v>
      </c>
      <c r="AK26" s="5" t="s">
        <v>726</v>
      </c>
      <c r="AL26" s="5" t="s">
        <v>1771</v>
      </c>
      <c r="AM26" s="5" t="s">
        <v>1772</v>
      </c>
      <c r="AN26" s="5" t="s">
        <v>1773</v>
      </c>
      <c r="AO26" s="5" t="s">
        <v>1774</v>
      </c>
      <c r="AP26" s="5" t="s">
        <v>1775</v>
      </c>
      <c r="AQ26" s="5" t="s">
        <v>1776</v>
      </c>
      <c r="AR26" s="5" t="s">
        <v>1777</v>
      </c>
      <c r="AS26" s="5" t="s">
        <v>1778</v>
      </c>
      <c r="AT26" s="5" t="s">
        <v>1779</v>
      </c>
      <c r="AU26" s="5" t="s">
        <v>1780</v>
      </c>
      <c r="AV26" s="5" t="s">
        <v>1781</v>
      </c>
      <c r="AW26" s="5" t="s">
        <v>1782</v>
      </c>
      <c r="AX26" s="5" t="s">
        <v>1783</v>
      </c>
      <c r="AY26" s="5" t="s">
        <v>726</v>
      </c>
      <c r="AZ26" s="5" t="s">
        <v>1784</v>
      </c>
      <c r="BA26" s="5" t="s">
        <v>1785</v>
      </c>
      <c r="BB26" s="5" t="s">
        <v>1786</v>
      </c>
      <c r="BC26" s="5" t="s">
        <v>1787</v>
      </c>
      <c r="BD26" s="5" t="s">
        <v>1788</v>
      </c>
      <c r="BE26" s="5" t="s">
        <v>1789</v>
      </c>
      <c r="BF26" s="5" t="s">
        <v>1790</v>
      </c>
      <c r="BG26" s="5" t="s">
        <v>1791</v>
      </c>
      <c r="BH26" s="5" t="s">
        <v>1792</v>
      </c>
      <c r="BI26" s="5" t="s">
        <v>1654</v>
      </c>
      <c r="BJ26" s="5" t="s">
        <v>332</v>
      </c>
      <c r="BK26" s="6" t="s">
        <v>1793</v>
      </c>
    </row>
    <row r="27" spans="1:63" ht="70.349999999999994" customHeight="1">
      <c r="A27" s="5" t="s">
        <v>334</v>
      </c>
      <c r="B27" s="5" t="s">
        <v>108</v>
      </c>
      <c r="C27" s="5" t="s">
        <v>1794</v>
      </c>
      <c r="D27" s="5" t="s">
        <v>1795</v>
      </c>
      <c r="E27" s="5" t="s">
        <v>337</v>
      </c>
      <c r="F27" s="5" t="s">
        <v>101</v>
      </c>
      <c r="G27" s="5" t="s">
        <v>105</v>
      </c>
      <c r="H27" s="5" t="s">
        <v>106</v>
      </c>
      <c r="I27" s="5" t="s">
        <v>339</v>
      </c>
      <c r="J27" s="5" t="s">
        <v>341</v>
      </c>
      <c r="K27" s="5" t="s">
        <v>1796</v>
      </c>
      <c r="L27" s="5" t="s">
        <v>1797</v>
      </c>
      <c r="M27" s="5" t="s">
        <v>1798</v>
      </c>
      <c r="N27" s="5" t="s">
        <v>1799</v>
      </c>
      <c r="O27" s="5" t="s">
        <v>1800</v>
      </c>
      <c r="P27" s="5" t="s">
        <v>1801</v>
      </c>
      <c r="Q27" s="5" t="s">
        <v>1802</v>
      </c>
      <c r="R27" s="5" t="s">
        <v>1803</v>
      </c>
      <c r="S27" s="5" t="s">
        <v>1804</v>
      </c>
      <c r="T27" s="5" t="s">
        <v>867</v>
      </c>
      <c r="U27" s="5" t="s">
        <v>1805</v>
      </c>
      <c r="V27" s="5" t="s">
        <v>1806</v>
      </c>
      <c r="W27" s="5" t="s">
        <v>1540</v>
      </c>
      <c r="X27" s="5" t="s">
        <v>867</v>
      </c>
      <c r="Y27" s="5" t="s">
        <v>1807</v>
      </c>
      <c r="Z27" s="5" t="s">
        <v>1808</v>
      </c>
      <c r="AA27" s="5" t="s">
        <v>867</v>
      </c>
      <c r="AB27" s="5" t="s">
        <v>1809</v>
      </c>
      <c r="AC27" s="5" t="s">
        <v>1810</v>
      </c>
      <c r="AD27" s="5" t="s">
        <v>1811</v>
      </c>
      <c r="AE27" s="5" t="s">
        <v>1812</v>
      </c>
      <c r="AF27" s="5" t="s">
        <v>1813</v>
      </c>
      <c r="AG27" s="5" t="s">
        <v>1814</v>
      </c>
      <c r="AH27" s="5" t="s">
        <v>1815</v>
      </c>
      <c r="AI27" s="5" t="s">
        <v>867</v>
      </c>
      <c r="AJ27" s="5" t="s">
        <v>867</v>
      </c>
      <c r="AK27" s="5" t="s">
        <v>867</v>
      </c>
      <c r="AL27" s="5" t="s">
        <v>1816</v>
      </c>
      <c r="AM27" s="5" t="s">
        <v>1817</v>
      </c>
      <c r="AN27" s="5" t="s">
        <v>1818</v>
      </c>
      <c r="AO27" s="5" t="s">
        <v>1819</v>
      </c>
      <c r="AP27" s="5" t="s">
        <v>1820</v>
      </c>
      <c r="AQ27" s="5" t="s">
        <v>1821</v>
      </c>
      <c r="AR27" s="5" t="s">
        <v>1822</v>
      </c>
      <c r="AS27" s="5" t="s">
        <v>867</v>
      </c>
      <c r="AT27" s="5" t="s">
        <v>1554</v>
      </c>
      <c r="AU27" s="5" t="s">
        <v>867</v>
      </c>
      <c r="AV27" s="5" t="s">
        <v>867</v>
      </c>
      <c r="AW27" s="5" t="s">
        <v>867</v>
      </c>
      <c r="AX27" s="5" t="s">
        <v>1823</v>
      </c>
      <c r="AY27" s="5" t="s">
        <v>867</v>
      </c>
      <c r="AZ27" s="5" t="s">
        <v>867</v>
      </c>
      <c r="BA27" s="5" t="s">
        <v>867</v>
      </c>
      <c r="BB27" s="5" t="s">
        <v>867</v>
      </c>
      <c r="BC27" s="5" t="s">
        <v>867</v>
      </c>
      <c r="BD27" s="5" t="s">
        <v>1824</v>
      </c>
      <c r="BE27" s="5" t="s">
        <v>1825</v>
      </c>
      <c r="BF27" s="5" t="s">
        <v>1826</v>
      </c>
      <c r="BG27" s="5" t="s">
        <v>747</v>
      </c>
      <c r="BH27" s="5" t="s">
        <v>1827</v>
      </c>
      <c r="BI27" s="5" t="s">
        <v>1828</v>
      </c>
      <c r="BJ27" s="5" t="s">
        <v>343</v>
      </c>
      <c r="BK27" s="6" t="s">
        <v>1829</v>
      </c>
    </row>
    <row r="28" spans="1:63" ht="70.349999999999994" customHeight="1">
      <c r="A28" s="5" t="s">
        <v>345</v>
      </c>
      <c r="B28" s="5" t="s">
        <v>108</v>
      </c>
      <c r="C28" s="5" t="s">
        <v>1604</v>
      </c>
      <c r="D28" s="5" t="s">
        <v>1830</v>
      </c>
      <c r="E28" s="5" t="s">
        <v>347</v>
      </c>
      <c r="F28" s="5" t="s">
        <v>119</v>
      </c>
      <c r="G28" s="5" t="s">
        <v>105</v>
      </c>
      <c r="H28" s="5" t="s">
        <v>106</v>
      </c>
      <c r="I28" s="5" t="s">
        <v>349</v>
      </c>
      <c r="J28" s="5" t="s">
        <v>172</v>
      </c>
      <c r="K28" s="5" t="s">
        <v>1831</v>
      </c>
      <c r="L28" s="5" t="s">
        <v>1832</v>
      </c>
      <c r="M28" s="5" t="s">
        <v>1833</v>
      </c>
      <c r="N28" s="5" t="s">
        <v>1834</v>
      </c>
      <c r="O28" s="5" t="s">
        <v>1835</v>
      </c>
      <c r="P28" s="5" t="s">
        <v>1836</v>
      </c>
      <c r="Q28" s="5" t="s">
        <v>1837</v>
      </c>
      <c r="R28" s="5" t="s">
        <v>1838</v>
      </c>
      <c r="S28" s="5" t="s">
        <v>1839</v>
      </c>
      <c r="T28" s="5" t="s">
        <v>1840</v>
      </c>
      <c r="U28" s="5" t="s">
        <v>1841</v>
      </c>
      <c r="V28" s="5" t="s">
        <v>1842</v>
      </c>
      <c r="W28" s="5" t="s">
        <v>1843</v>
      </c>
      <c r="X28" s="5" t="s">
        <v>1844</v>
      </c>
      <c r="Y28" s="5" t="s">
        <v>1845</v>
      </c>
      <c r="Z28" s="5" t="s">
        <v>1846</v>
      </c>
      <c r="AA28" s="5" t="s">
        <v>1847</v>
      </c>
      <c r="AB28" s="5" t="s">
        <v>1848</v>
      </c>
      <c r="AC28" s="5" t="s">
        <v>770</v>
      </c>
      <c r="AD28" s="5" t="s">
        <v>1849</v>
      </c>
      <c r="AE28" s="5" t="s">
        <v>1850</v>
      </c>
      <c r="AF28" s="5" t="s">
        <v>723</v>
      </c>
      <c r="AG28" s="5" t="s">
        <v>1851</v>
      </c>
      <c r="AH28" s="5" t="s">
        <v>1852</v>
      </c>
      <c r="AI28" s="5" t="s">
        <v>1853</v>
      </c>
      <c r="AJ28" s="5" t="s">
        <v>1854</v>
      </c>
      <c r="AK28" s="5" t="s">
        <v>1855</v>
      </c>
      <c r="AL28" s="5" t="s">
        <v>1856</v>
      </c>
      <c r="AM28" s="5" t="s">
        <v>1857</v>
      </c>
      <c r="AN28" s="5" t="s">
        <v>1858</v>
      </c>
      <c r="AO28" s="5" t="s">
        <v>1859</v>
      </c>
      <c r="AP28" s="5" t="s">
        <v>1860</v>
      </c>
      <c r="AQ28" s="5" t="s">
        <v>1861</v>
      </c>
      <c r="AR28" s="5" t="s">
        <v>1862</v>
      </c>
      <c r="AS28" s="5" t="s">
        <v>1863</v>
      </c>
      <c r="AT28" s="5" t="s">
        <v>1864</v>
      </c>
      <c r="AU28" s="5" t="s">
        <v>1865</v>
      </c>
      <c r="AV28" s="5" t="s">
        <v>1866</v>
      </c>
      <c r="AW28" s="5" t="s">
        <v>1867</v>
      </c>
      <c r="AX28" s="5" t="s">
        <v>1868</v>
      </c>
      <c r="AY28" s="5" t="s">
        <v>726</v>
      </c>
      <c r="AZ28" s="5" t="s">
        <v>1869</v>
      </c>
      <c r="BA28" s="5" t="s">
        <v>1870</v>
      </c>
      <c r="BB28" s="5" t="s">
        <v>1871</v>
      </c>
      <c r="BC28" s="5" t="s">
        <v>1872</v>
      </c>
      <c r="BD28" s="5" t="s">
        <v>1873</v>
      </c>
      <c r="BE28" s="5" t="s">
        <v>1874</v>
      </c>
      <c r="BF28" s="5" t="s">
        <v>1875</v>
      </c>
      <c r="BG28" s="5" t="s">
        <v>747</v>
      </c>
      <c r="BH28" s="5" t="s">
        <v>1876</v>
      </c>
      <c r="BI28" s="5" t="s">
        <v>1654</v>
      </c>
      <c r="BJ28" s="5" t="s">
        <v>351</v>
      </c>
      <c r="BK28" s="6" t="s">
        <v>1877</v>
      </c>
    </row>
    <row r="29" spans="1:63" ht="70.349999999999994" customHeight="1">
      <c r="A29" s="5" t="s">
        <v>353</v>
      </c>
      <c r="B29" s="5" t="s">
        <v>108</v>
      </c>
      <c r="C29" s="5" t="s">
        <v>1656</v>
      </c>
      <c r="D29" s="5" t="s">
        <v>1878</v>
      </c>
      <c r="E29" s="5" t="s">
        <v>355</v>
      </c>
      <c r="F29" s="5" t="s">
        <v>101</v>
      </c>
      <c r="G29" s="5" t="s">
        <v>105</v>
      </c>
      <c r="H29" s="5" t="s">
        <v>106</v>
      </c>
      <c r="I29" s="5" t="s">
        <v>357</v>
      </c>
      <c r="J29" s="5" t="s">
        <v>359</v>
      </c>
      <c r="K29" s="5" t="s">
        <v>1879</v>
      </c>
      <c r="L29" s="5" t="s">
        <v>1880</v>
      </c>
      <c r="M29" s="5" t="s">
        <v>1881</v>
      </c>
      <c r="N29" s="5" t="s">
        <v>1882</v>
      </c>
      <c r="O29" s="5" t="s">
        <v>1883</v>
      </c>
      <c r="P29" s="5" t="s">
        <v>1884</v>
      </c>
      <c r="Q29" s="5" t="s">
        <v>1885</v>
      </c>
      <c r="R29" s="5" t="s">
        <v>1886</v>
      </c>
      <c r="S29" s="5" t="s">
        <v>1887</v>
      </c>
      <c r="T29" s="5" t="s">
        <v>1888</v>
      </c>
      <c r="U29" s="5" t="s">
        <v>726</v>
      </c>
      <c r="V29" s="5" t="s">
        <v>726</v>
      </c>
      <c r="W29" s="5" t="s">
        <v>1889</v>
      </c>
      <c r="X29" s="5" t="s">
        <v>1890</v>
      </c>
      <c r="Y29" s="5" t="s">
        <v>1891</v>
      </c>
      <c r="Z29" s="5" t="s">
        <v>1892</v>
      </c>
      <c r="AA29" s="5" t="s">
        <v>726</v>
      </c>
      <c r="AB29" s="5" t="s">
        <v>1893</v>
      </c>
      <c r="AC29" s="5" t="s">
        <v>720</v>
      </c>
      <c r="AD29" s="5" t="s">
        <v>1894</v>
      </c>
      <c r="AE29" s="5" t="s">
        <v>1895</v>
      </c>
      <c r="AF29" s="5" t="s">
        <v>1896</v>
      </c>
      <c r="AG29" s="5" t="s">
        <v>1897</v>
      </c>
      <c r="AH29" s="5" t="s">
        <v>726</v>
      </c>
      <c r="AI29" s="5" t="s">
        <v>726</v>
      </c>
      <c r="AJ29" s="5" t="s">
        <v>726</v>
      </c>
      <c r="AK29" s="5" t="s">
        <v>726</v>
      </c>
      <c r="AL29" s="5" t="s">
        <v>726</v>
      </c>
      <c r="AM29" s="5" t="s">
        <v>1898</v>
      </c>
      <c r="AN29" s="5" t="s">
        <v>1899</v>
      </c>
      <c r="AO29" s="5" t="s">
        <v>1900</v>
      </c>
      <c r="AP29" s="5" t="s">
        <v>1901</v>
      </c>
      <c r="AQ29" s="5" t="s">
        <v>1902</v>
      </c>
      <c r="AR29" s="5" t="s">
        <v>1903</v>
      </c>
      <c r="AS29" s="5" t="s">
        <v>726</v>
      </c>
      <c r="AT29" s="5" t="s">
        <v>871</v>
      </c>
      <c r="AU29" s="5" t="s">
        <v>726</v>
      </c>
      <c r="AV29" s="5" t="s">
        <v>1904</v>
      </c>
      <c r="AW29" s="5" t="s">
        <v>1905</v>
      </c>
      <c r="AX29" s="5" t="s">
        <v>1906</v>
      </c>
      <c r="AY29" s="5" t="s">
        <v>1907</v>
      </c>
      <c r="AZ29" s="5" t="s">
        <v>1908</v>
      </c>
      <c r="BA29" s="5" t="s">
        <v>1909</v>
      </c>
      <c r="BB29" s="5" t="s">
        <v>1910</v>
      </c>
      <c r="BC29" s="5" t="s">
        <v>1911</v>
      </c>
      <c r="BD29" s="5" t="s">
        <v>1912</v>
      </c>
      <c r="BE29" s="5" t="s">
        <v>1913</v>
      </c>
      <c r="BF29" s="5" t="s">
        <v>1914</v>
      </c>
      <c r="BG29" s="5" t="s">
        <v>1242</v>
      </c>
      <c r="BH29" s="5" t="s">
        <v>1915</v>
      </c>
      <c r="BI29" s="5" t="s">
        <v>1695</v>
      </c>
      <c r="BJ29" s="5" t="s">
        <v>360</v>
      </c>
      <c r="BK29" s="6" t="s">
        <v>1916</v>
      </c>
    </row>
    <row r="30" spans="1:63" ht="248.4">
      <c r="A30" s="5" t="s">
        <v>362</v>
      </c>
      <c r="B30" s="5" t="s">
        <v>99</v>
      </c>
      <c r="C30" s="5" t="s">
        <v>700</v>
      </c>
      <c r="D30" s="5" t="s">
        <v>1917</v>
      </c>
      <c r="E30" s="5" t="s">
        <v>365</v>
      </c>
      <c r="F30" s="5" t="s">
        <v>363</v>
      </c>
      <c r="G30" s="5" t="s">
        <v>123</v>
      </c>
      <c r="H30" s="5" t="s">
        <v>106</v>
      </c>
      <c r="I30" s="5" t="s">
        <v>367</v>
      </c>
      <c r="J30" s="5" t="s">
        <v>369</v>
      </c>
      <c r="K30" s="5" t="s">
        <v>1918</v>
      </c>
      <c r="L30" s="5" t="s">
        <v>1919</v>
      </c>
      <c r="M30" s="5" t="s">
        <v>1920</v>
      </c>
      <c r="N30" s="5" t="s">
        <v>1921</v>
      </c>
      <c r="O30" s="5" t="s">
        <v>706</v>
      </c>
      <c r="P30" s="5" t="s">
        <v>1922</v>
      </c>
      <c r="Q30" s="5" t="s">
        <v>1923</v>
      </c>
      <c r="R30" s="5" t="s">
        <v>1924</v>
      </c>
      <c r="S30" s="5" t="s">
        <v>1925</v>
      </c>
      <c r="T30" s="5" t="s">
        <v>1926</v>
      </c>
      <c r="U30" s="5" t="s">
        <v>1927</v>
      </c>
      <c r="V30" s="5" t="s">
        <v>1928</v>
      </c>
      <c r="W30" s="5" t="s">
        <v>1929</v>
      </c>
      <c r="X30" s="5" t="s">
        <v>1930</v>
      </c>
      <c r="Y30" s="5" t="s">
        <v>1931</v>
      </c>
      <c r="Z30" s="5" t="s">
        <v>1932</v>
      </c>
      <c r="AA30" s="5" t="s">
        <v>726</v>
      </c>
      <c r="AB30" s="5" t="s">
        <v>726</v>
      </c>
      <c r="AC30" s="5" t="s">
        <v>1933</v>
      </c>
      <c r="AD30" s="5" t="s">
        <v>1934</v>
      </c>
      <c r="AE30" s="5" t="s">
        <v>1935</v>
      </c>
      <c r="AF30" s="5" t="s">
        <v>1097</v>
      </c>
      <c r="AG30" s="5" t="s">
        <v>1936</v>
      </c>
      <c r="AH30" s="5" t="s">
        <v>1937</v>
      </c>
      <c r="AI30" s="5" t="s">
        <v>1100</v>
      </c>
      <c r="AJ30" s="5" t="s">
        <v>1938</v>
      </c>
      <c r="AK30" s="5" t="s">
        <v>726</v>
      </c>
      <c r="AL30" s="5" t="s">
        <v>1939</v>
      </c>
      <c r="AM30" s="5" t="s">
        <v>1940</v>
      </c>
      <c r="AN30" s="5" t="s">
        <v>1941</v>
      </c>
      <c r="AO30" s="5" t="s">
        <v>726</v>
      </c>
      <c r="AP30" s="5" t="s">
        <v>1942</v>
      </c>
      <c r="AQ30" s="5" t="s">
        <v>1943</v>
      </c>
      <c r="AR30" s="5" t="s">
        <v>734</v>
      </c>
      <c r="AS30" s="5" t="s">
        <v>1944</v>
      </c>
      <c r="AT30" s="5" t="s">
        <v>1945</v>
      </c>
      <c r="AU30" s="5" t="s">
        <v>1946</v>
      </c>
      <c r="AV30" s="5" t="s">
        <v>1947</v>
      </c>
      <c r="AW30" s="5" t="s">
        <v>1948</v>
      </c>
      <c r="AX30" s="5" t="s">
        <v>1949</v>
      </c>
      <c r="AY30" s="5" t="s">
        <v>726</v>
      </c>
      <c r="AZ30" s="5" t="s">
        <v>1950</v>
      </c>
      <c r="BA30" s="5" t="s">
        <v>726</v>
      </c>
      <c r="BB30" s="5" t="s">
        <v>726</v>
      </c>
      <c r="BC30" s="5" t="s">
        <v>1951</v>
      </c>
      <c r="BD30" s="5" t="s">
        <v>1952</v>
      </c>
      <c r="BE30" s="5" t="s">
        <v>1953</v>
      </c>
      <c r="BF30" s="5" t="s">
        <v>1954</v>
      </c>
      <c r="BG30" s="5" t="s">
        <v>747</v>
      </c>
      <c r="BH30" s="5" t="s">
        <v>1955</v>
      </c>
      <c r="BI30" s="5" t="s">
        <v>749</v>
      </c>
      <c r="BJ30" s="5" t="s">
        <v>370</v>
      </c>
      <c r="BK30" s="6" t="s">
        <v>1956</v>
      </c>
    </row>
    <row r="31" spans="1:63" ht="70.349999999999994" customHeight="1">
      <c r="A31" s="2" t="s">
        <v>371</v>
      </c>
      <c r="B31" s="2" t="s">
        <v>108</v>
      </c>
      <c r="C31" s="2" t="s">
        <v>1604</v>
      </c>
      <c r="D31" s="2" t="s">
        <v>1957</v>
      </c>
      <c r="E31" s="2" t="s">
        <v>373</v>
      </c>
      <c r="F31" s="2" t="s">
        <v>101</v>
      </c>
      <c r="G31" s="2" t="s">
        <v>105</v>
      </c>
      <c r="H31" s="2" t="s">
        <v>106</v>
      </c>
      <c r="I31" s="2" t="s">
        <v>374</v>
      </c>
      <c r="J31" s="2" t="s">
        <v>376</v>
      </c>
      <c r="K31" s="2" t="s">
        <v>1958</v>
      </c>
      <c r="L31" s="2" t="s">
        <v>1959</v>
      </c>
      <c r="M31" s="2" t="s">
        <v>1960</v>
      </c>
      <c r="N31" s="2" t="s">
        <v>1961</v>
      </c>
      <c r="O31" s="2" t="s">
        <v>1962</v>
      </c>
      <c r="P31" s="2" t="s">
        <v>1963</v>
      </c>
      <c r="Q31" s="2" t="s">
        <v>1964</v>
      </c>
      <c r="R31" s="2" t="s">
        <v>1965</v>
      </c>
      <c r="S31" s="2" t="s">
        <v>1966</v>
      </c>
      <c r="T31" s="2" t="s">
        <v>1967</v>
      </c>
      <c r="U31" s="2" t="s">
        <v>1968</v>
      </c>
      <c r="V31" s="2" t="s">
        <v>1969</v>
      </c>
      <c r="W31" s="2" t="s">
        <v>1970</v>
      </c>
      <c r="X31" s="2" t="s">
        <v>1971</v>
      </c>
      <c r="Y31" s="2" t="s">
        <v>1972</v>
      </c>
      <c r="Z31" s="2" t="s">
        <v>1973</v>
      </c>
      <c r="AA31" s="2" t="s">
        <v>1974</v>
      </c>
      <c r="AB31" s="2" t="s">
        <v>1975</v>
      </c>
      <c r="AC31" s="2" t="s">
        <v>1976</v>
      </c>
      <c r="AD31" s="2" t="s">
        <v>1977</v>
      </c>
      <c r="AE31" s="2" t="s">
        <v>1978</v>
      </c>
      <c r="AF31" s="2" t="s">
        <v>1979</v>
      </c>
      <c r="AG31" s="2" t="s">
        <v>1980</v>
      </c>
      <c r="AH31" s="2" t="s">
        <v>1981</v>
      </c>
      <c r="AI31" s="2" t="s">
        <v>726</v>
      </c>
      <c r="AJ31" s="2" t="s">
        <v>1982</v>
      </c>
      <c r="AK31" s="2" t="s">
        <v>726</v>
      </c>
      <c r="AL31" s="2" t="s">
        <v>1983</v>
      </c>
      <c r="AM31" s="2" t="s">
        <v>1984</v>
      </c>
      <c r="AN31" s="2" t="s">
        <v>1985</v>
      </c>
      <c r="AO31" s="2" t="s">
        <v>1986</v>
      </c>
      <c r="AP31" s="2" t="s">
        <v>1987</v>
      </c>
      <c r="AQ31" s="2" t="s">
        <v>1988</v>
      </c>
      <c r="AR31" s="2" t="s">
        <v>1989</v>
      </c>
      <c r="AS31" s="2" t="s">
        <v>1990</v>
      </c>
      <c r="AT31" s="2" t="s">
        <v>1991</v>
      </c>
      <c r="AU31" s="2" t="s">
        <v>1992</v>
      </c>
      <c r="AV31" s="2" t="s">
        <v>1993</v>
      </c>
      <c r="AW31" s="2" t="s">
        <v>1994</v>
      </c>
      <c r="AX31" s="2" t="s">
        <v>1995</v>
      </c>
      <c r="AY31" s="2" t="s">
        <v>726</v>
      </c>
      <c r="AZ31" s="2" t="s">
        <v>1996</v>
      </c>
      <c r="BA31" s="2" t="s">
        <v>1997</v>
      </c>
      <c r="BB31" s="2" t="s">
        <v>1998</v>
      </c>
      <c r="BC31" s="2" t="s">
        <v>1999</v>
      </c>
      <c r="BD31" s="2" t="s">
        <v>2000</v>
      </c>
      <c r="BE31" s="2" t="s">
        <v>2001</v>
      </c>
      <c r="BF31" s="2" t="s">
        <v>2002</v>
      </c>
      <c r="BG31" s="2" t="s">
        <v>747</v>
      </c>
      <c r="BH31" s="2" t="s">
        <v>2003</v>
      </c>
      <c r="BI31" s="2" t="s">
        <v>1654</v>
      </c>
      <c r="BJ31" s="2" t="s">
        <v>377</v>
      </c>
      <c r="BK31" s="3" t="s">
        <v>2004</v>
      </c>
    </row>
  </sheetData>
  <mergeCells count="10">
    <mergeCell ref="AF1:AM1"/>
    <mergeCell ref="AN1:AQ1"/>
    <mergeCell ref="AR1:AV1"/>
    <mergeCell ref="AW1:BC1"/>
    <mergeCell ref="BD1:BJ1"/>
    <mergeCell ref="A1:J1"/>
    <mergeCell ref="K1:Q1"/>
    <mergeCell ref="R1:X1"/>
    <mergeCell ref="Y1:AC1"/>
    <mergeCell ref="AD1:AE1"/>
  </mergeCells>
  <conditionalFormatting sqref="A3:BK31">
    <cfRule type="expression" dxfId="4" priority="1">
      <formula>B3="Yes"</formula>
    </cfRule>
  </conditionalFormatting>
  <dataValidations count="2">
    <dataValidation type="list" sqref="B3:B31" xr:uid="{00000000-0002-0000-0200-000000000000}">
      <formula1>"Yes,No"</formula1>
    </dataValidation>
    <dataValidation type="list" sqref="BF3:BF31" xr:uid="{00000000-0002-0000-0200-000001000000}">
      <formula1>"Pending,In progress,Complete,Blocked"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8"/>
  <sheetViews>
    <sheetView workbookViewId="0"/>
  </sheetViews>
  <sheetFormatPr baseColWidth="10" defaultColWidth="8.796875" defaultRowHeight="13.8"/>
  <cols>
    <col min="1" max="2" width="8" customWidth="1"/>
    <col min="3" max="3" width="28" customWidth="1"/>
    <col min="4" max="4" width="26" customWidth="1"/>
    <col min="5" max="5" width="44" customWidth="1"/>
    <col min="6" max="6" width="9" customWidth="1"/>
    <col min="7" max="8" width="16" customWidth="1"/>
    <col min="9" max="9" width="28" customWidth="1"/>
    <col min="10" max="11" width="38" customWidth="1"/>
    <col min="12" max="12" width="34" customWidth="1"/>
    <col min="13" max="13" width="40" customWidth="1"/>
    <col min="14" max="15" width="38" customWidth="1"/>
    <col min="16" max="18" width="32" customWidth="1"/>
    <col min="19" max="19" width="28" customWidth="1"/>
    <col min="20" max="20" width="32" customWidth="1"/>
    <col min="21" max="21" width="34" customWidth="1"/>
    <col min="22" max="22" width="36" customWidth="1"/>
    <col min="23" max="23" width="28" customWidth="1"/>
    <col min="24" max="24" width="14" customWidth="1"/>
    <col min="25" max="25" width="18" customWidth="1"/>
    <col min="26" max="26" width="10" customWidth="1"/>
    <col min="27" max="27" width="55" customWidth="1"/>
    <col min="28" max="28" width="60" customWidth="1"/>
  </cols>
  <sheetData>
    <row r="1" spans="1:28">
      <c r="A1" s="15" t="s">
        <v>634</v>
      </c>
      <c r="B1" s="15"/>
      <c r="C1" s="15"/>
      <c r="D1" s="15"/>
      <c r="E1" s="15"/>
      <c r="F1" s="15"/>
      <c r="G1" s="15"/>
      <c r="H1" s="15"/>
      <c r="I1" s="15"/>
      <c r="J1" s="15"/>
      <c r="K1" s="15" t="s">
        <v>2005</v>
      </c>
      <c r="L1" s="15"/>
      <c r="M1" s="15"/>
      <c r="N1" s="15"/>
      <c r="O1" s="15" t="s">
        <v>2006</v>
      </c>
      <c r="P1" s="15"/>
      <c r="Q1" s="15"/>
      <c r="R1" s="15"/>
      <c r="S1" s="15"/>
      <c r="T1" s="15"/>
      <c r="U1" s="15"/>
      <c r="V1" s="15" t="s">
        <v>643</v>
      </c>
      <c r="W1" s="15"/>
      <c r="X1" s="15"/>
      <c r="Y1" s="15"/>
      <c r="Z1" s="15"/>
      <c r="AA1" s="15"/>
      <c r="AB1" s="4" t="s">
        <v>644</v>
      </c>
    </row>
    <row r="2" spans="1:28" ht="27.6">
      <c r="A2" s="1" t="s">
        <v>76</v>
      </c>
      <c r="B2" s="1" t="s">
        <v>79</v>
      </c>
      <c r="C2" s="1" t="s">
        <v>80</v>
      </c>
      <c r="D2" s="1" t="s">
        <v>645</v>
      </c>
      <c r="E2" s="1" t="s">
        <v>83</v>
      </c>
      <c r="F2" s="1" t="s">
        <v>81</v>
      </c>
      <c r="G2" s="1" t="s">
        <v>85</v>
      </c>
      <c r="H2" s="1" t="s">
        <v>86</v>
      </c>
      <c r="I2" s="1" t="s">
        <v>646</v>
      </c>
      <c r="J2" s="1" t="s">
        <v>91</v>
      </c>
      <c r="K2" s="1" t="s">
        <v>2007</v>
      </c>
      <c r="L2" s="1" t="s">
        <v>2008</v>
      </c>
      <c r="M2" s="1" t="s">
        <v>2009</v>
      </c>
      <c r="N2" s="1" t="s">
        <v>2010</v>
      </c>
      <c r="O2" s="1" t="s">
        <v>2011</v>
      </c>
      <c r="P2" s="1" t="s">
        <v>2012</v>
      </c>
      <c r="Q2" s="1" t="s">
        <v>638</v>
      </c>
      <c r="R2" s="1" t="s">
        <v>640</v>
      </c>
      <c r="S2" s="1" t="s">
        <v>2013</v>
      </c>
      <c r="T2" s="1" t="s">
        <v>2014</v>
      </c>
      <c r="U2" s="1" t="s">
        <v>2015</v>
      </c>
      <c r="V2" s="1" t="s">
        <v>2016</v>
      </c>
      <c r="W2" s="1" t="s">
        <v>694</v>
      </c>
      <c r="X2" s="1" t="s">
        <v>695</v>
      </c>
      <c r="Y2" s="1" t="s">
        <v>697</v>
      </c>
      <c r="Z2" s="1" t="s">
        <v>88</v>
      </c>
      <c r="AA2" s="1" t="s">
        <v>698</v>
      </c>
      <c r="AB2" s="1" t="s">
        <v>699</v>
      </c>
    </row>
    <row r="3" spans="1:28" ht="67.2" customHeight="1">
      <c r="A3" s="5" t="s">
        <v>379</v>
      </c>
      <c r="B3" s="5" t="s">
        <v>108</v>
      </c>
      <c r="C3" s="5" t="s">
        <v>382</v>
      </c>
      <c r="D3" s="5" t="s">
        <v>2017</v>
      </c>
      <c r="E3" s="5" t="s">
        <v>385</v>
      </c>
      <c r="F3" s="5" t="s">
        <v>383</v>
      </c>
      <c r="G3" s="5" t="s">
        <v>123</v>
      </c>
      <c r="H3" s="5" t="s">
        <v>106</v>
      </c>
      <c r="I3" s="5" t="s">
        <v>387</v>
      </c>
      <c r="J3" s="5" t="s">
        <v>389</v>
      </c>
      <c r="K3" s="5" t="s">
        <v>2018</v>
      </c>
      <c r="L3" s="5" t="s">
        <v>390</v>
      </c>
      <c r="M3" s="5" t="s">
        <v>2019</v>
      </c>
      <c r="N3" s="5" t="s">
        <v>2020</v>
      </c>
      <c r="O3" s="5" t="s">
        <v>2021</v>
      </c>
      <c r="P3" s="5" t="s">
        <v>2022</v>
      </c>
      <c r="Q3" s="5" t="s">
        <v>2023</v>
      </c>
      <c r="R3" s="5" t="s">
        <v>2024</v>
      </c>
      <c r="S3" s="5" t="s">
        <v>2025</v>
      </c>
      <c r="T3" s="5" t="s">
        <v>2026</v>
      </c>
      <c r="U3" s="5" t="s">
        <v>2027</v>
      </c>
      <c r="V3" s="5" t="s">
        <v>2028</v>
      </c>
      <c r="W3" s="5" t="s">
        <v>2029</v>
      </c>
      <c r="X3" s="5" t="s">
        <v>1387</v>
      </c>
      <c r="Y3" s="5" t="s">
        <v>2030</v>
      </c>
      <c r="Z3" s="5" t="s">
        <v>108</v>
      </c>
      <c r="AA3" s="5" t="s">
        <v>392</v>
      </c>
      <c r="AB3" s="6" t="s">
        <v>2031</v>
      </c>
    </row>
    <row r="4" spans="1:28" ht="67.2" customHeight="1">
      <c r="A4" s="5" t="s">
        <v>394</v>
      </c>
      <c r="B4" s="5" t="s">
        <v>108</v>
      </c>
      <c r="C4" s="5" t="s">
        <v>382</v>
      </c>
      <c r="D4" s="5" t="s">
        <v>2032</v>
      </c>
      <c r="E4" s="5" t="s">
        <v>396</v>
      </c>
      <c r="F4" s="5" t="s">
        <v>383</v>
      </c>
      <c r="G4" s="5" t="s">
        <v>88</v>
      </c>
      <c r="H4" s="5" t="s">
        <v>88</v>
      </c>
      <c r="I4" s="5" t="s">
        <v>397</v>
      </c>
      <c r="J4" s="5" t="s">
        <v>398</v>
      </c>
      <c r="K4" s="5" t="s">
        <v>2033</v>
      </c>
      <c r="L4" s="5" t="s">
        <v>399</v>
      </c>
      <c r="M4" s="5" t="s">
        <v>2034</v>
      </c>
      <c r="N4" s="5" t="s">
        <v>2035</v>
      </c>
      <c r="O4" s="5" t="s">
        <v>2036</v>
      </c>
      <c r="P4" s="5" t="s">
        <v>2037</v>
      </c>
      <c r="Q4" s="5" t="s">
        <v>2038</v>
      </c>
      <c r="R4" s="5" t="s">
        <v>2039</v>
      </c>
      <c r="S4" s="5" t="s">
        <v>2040</v>
      </c>
      <c r="T4" s="5" t="s">
        <v>2041</v>
      </c>
      <c r="U4" s="5" t="s">
        <v>2042</v>
      </c>
      <c r="V4" s="5" t="s">
        <v>2043</v>
      </c>
      <c r="W4" s="5" t="s">
        <v>2044</v>
      </c>
      <c r="X4" s="5" t="s">
        <v>747</v>
      </c>
      <c r="Y4" s="5" t="s">
        <v>2045</v>
      </c>
      <c r="Z4" s="5" t="s">
        <v>99</v>
      </c>
      <c r="AA4" s="5" t="s">
        <v>402</v>
      </c>
      <c r="AB4" s="6" t="s">
        <v>2046</v>
      </c>
    </row>
    <row r="5" spans="1:28" ht="67.2" customHeight="1">
      <c r="A5" s="5" t="s">
        <v>404</v>
      </c>
      <c r="B5" s="5" t="s">
        <v>108</v>
      </c>
      <c r="C5" s="5" t="s">
        <v>382</v>
      </c>
      <c r="D5" s="5" t="s">
        <v>2047</v>
      </c>
      <c r="E5" s="5" t="s">
        <v>406</v>
      </c>
      <c r="F5" s="5" t="s">
        <v>225</v>
      </c>
      <c r="G5" s="5" t="s">
        <v>88</v>
      </c>
      <c r="H5" s="5" t="s">
        <v>88</v>
      </c>
      <c r="I5" s="5" t="s">
        <v>407</v>
      </c>
      <c r="J5" s="5" t="s">
        <v>398</v>
      </c>
      <c r="K5" s="5" t="s">
        <v>2033</v>
      </c>
      <c r="L5" s="5" t="s">
        <v>408</v>
      </c>
      <c r="M5" s="5" t="s">
        <v>2048</v>
      </c>
      <c r="N5" s="5" t="s">
        <v>2049</v>
      </c>
      <c r="O5" s="5" t="s">
        <v>2050</v>
      </c>
      <c r="P5" s="5" t="s">
        <v>2051</v>
      </c>
      <c r="Q5" s="5" t="s">
        <v>2052</v>
      </c>
      <c r="R5" s="5" t="s">
        <v>2053</v>
      </c>
      <c r="S5" s="5" t="s">
        <v>2054</v>
      </c>
      <c r="T5" s="5" t="s">
        <v>2055</v>
      </c>
      <c r="U5" s="5" t="s">
        <v>2056</v>
      </c>
      <c r="V5" s="5" t="s">
        <v>2057</v>
      </c>
      <c r="W5" s="5" t="s">
        <v>2058</v>
      </c>
      <c r="X5" s="5" t="s">
        <v>747</v>
      </c>
      <c r="Y5" s="5" t="s">
        <v>2030</v>
      </c>
      <c r="Z5" s="5" t="s">
        <v>99</v>
      </c>
      <c r="AA5" s="5" t="s">
        <v>410</v>
      </c>
      <c r="AB5" s="6" t="s">
        <v>2059</v>
      </c>
    </row>
    <row r="6" spans="1:28" ht="72" customHeight="1">
      <c r="A6" s="5" t="s">
        <v>412</v>
      </c>
      <c r="B6" s="5" t="s">
        <v>108</v>
      </c>
      <c r="C6" s="5" t="s">
        <v>413</v>
      </c>
      <c r="D6" s="5" t="s">
        <v>2060</v>
      </c>
      <c r="E6" s="5" t="s">
        <v>415</v>
      </c>
      <c r="F6" s="5" t="s">
        <v>166</v>
      </c>
      <c r="G6" s="5" t="s">
        <v>105</v>
      </c>
      <c r="H6" s="5" t="s">
        <v>106</v>
      </c>
      <c r="I6" s="5" t="s">
        <v>416</v>
      </c>
      <c r="J6" s="5" t="s">
        <v>418</v>
      </c>
      <c r="K6" s="5" t="s">
        <v>2033</v>
      </c>
      <c r="L6" s="5" t="s">
        <v>419</v>
      </c>
      <c r="M6" s="5" t="s">
        <v>2061</v>
      </c>
      <c r="N6" s="5" t="s">
        <v>2062</v>
      </c>
      <c r="O6" s="5" t="s">
        <v>2063</v>
      </c>
      <c r="P6" s="5" t="s">
        <v>2064</v>
      </c>
      <c r="Q6" s="5" t="s">
        <v>2065</v>
      </c>
      <c r="R6" s="5" t="s">
        <v>2066</v>
      </c>
      <c r="S6" s="5" t="s">
        <v>2067</v>
      </c>
      <c r="T6" s="5" t="s">
        <v>2068</v>
      </c>
      <c r="U6" s="5" t="s">
        <v>2069</v>
      </c>
      <c r="V6" s="5" t="s">
        <v>2070</v>
      </c>
      <c r="W6" s="5" t="s">
        <v>2071</v>
      </c>
      <c r="X6" s="5" t="s">
        <v>747</v>
      </c>
      <c r="Y6" s="5" t="s">
        <v>2072</v>
      </c>
      <c r="Z6" s="5" t="s">
        <v>108</v>
      </c>
      <c r="AA6" s="5" t="s">
        <v>422</v>
      </c>
      <c r="AB6" s="6" t="s">
        <v>2073</v>
      </c>
    </row>
    <row r="7" spans="1:28" ht="68.849999999999994" customHeight="1">
      <c r="A7" s="5" t="s">
        <v>424</v>
      </c>
      <c r="B7" s="5" t="s">
        <v>108</v>
      </c>
      <c r="C7" s="5" t="s">
        <v>425</v>
      </c>
      <c r="D7" s="5" t="s">
        <v>2074</v>
      </c>
      <c r="E7" s="5" t="s">
        <v>427</v>
      </c>
      <c r="F7" s="5" t="s">
        <v>101</v>
      </c>
      <c r="G7" s="5" t="s">
        <v>105</v>
      </c>
      <c r="H7" s="5" t="s">
        <v>106</v>
      </c>
      <c r="I7" s="5" t="s">
        <v>428</v>
      </c>
      <c r="J7" s="5" t="s">
        <v>430</v>
      </c>
      <c r="K7" s="5" t="s">
        <v>2033</v>
      </c>
      <c r="L7" s="5" t="s">
        <v>431</v>
      </c>
      <c r="M7" s="5" t="s">
        <v>2075</v>
      </c>
      <c r="N7" s="5" t="s">
        <v>2076</v>
      </c>
      <c r="O7" s="5" t="s">
        <v>2077</v>
      </c>
      <c r="P7" s="5" t="s">
        <v>2078</v>
      </c>
      <c r="Q7" s="5" t="s">
        <v>2079</v>
      </c>
      <c r="R7" s="5" t="s">
        <v>2080</v>
      </c>
      <c r="S7" s="5" t="s">
        <v>2081</v>
      </c>
      <c r="T7" s="5" t="s">
        <v>2082</v>
      </c>
      <c r="U7" s="5" t="s">
        <v>2083</v>
      </c>
      <c r="V7" s="5" t="s">
        <v>2084</v>
      </c>
      <c r="W7" s="5" t="s">
        <v>2085</v>
      </c>
      <c r="X7" s="5" t="s">
        <v>747</v>
      </c>
      <c r="Y7" s="5" t="s">
        <v>2086</v>
      </c>
      <c r="Z7" s="5" t="s">
        <v>108</v>
      </c>
      <c r="AA7" s="5" t="s">
        <v>432</v>
      </c>
      <c r="AB7" s="6" t="s">
        <v>2087</v>
      </c>
    </row>
    <row r="8" spans="1:28" ht="72" customHeight="1">
      <c r="A8" s="5" t="s">
        <v>434</v>
      </c>
      <c r="B8" s="5" t="s">
        <v>108</v>
      </c>
      <c r="C8" s="5" t="s">
        <v>413</v>
      </c>
      <c r="D8" s="5" t="s">
        <v>2088</v>
      </c>
      <c r="E8" s="5" t="s">
        <v>436</v>
      </c>
      <c r="F8" s="5" t="s">
        <v>101</v>
      </c>
      <c r="G8" s="5" t="s">
        <v>105</v>
      </c>
      <c r="H8" s="5" t="s">
        <v>106</v>
      </c>
      <c r="I8" s="5" t="s">
        <v>437</v>
      </c>
      <c r="J8" s="5" t="s">
        <v>418</v>
      </c>
      <c r="K8" s="5" t="s">
        <v>2033</v>
      </c>
      <c r="L8" s="5" t="s">
        <v>439</v>
      </c>
      <c r="M8" s="5" t="s">
        <v>2089</v>
      </c>
      <c r="N8" s="5" t="s">
        <v>2090</v>
      </c>
      <c r="O8" s="5" t="s">
        <v>2091</v>
      </c>
      <c r="P8" s="5" t="s">
        <v>2092</v>
      </c>
      <c r="Q8" s="5" t="s">
        <v>2093</v>
      </c>
      <c r="R8" s="5" t="s">
        <v>2094</v>
      </c>
      <c r="S8" s="5" t="s">
        <v>2095</v>
      </c>
      <c r="T8" s="5" t="s">
        <v>2096</v>
      </c>
      <c r="U8" s="5" t="s">
        <v>2097</v>
      </c>
      <c r="V8" s="5" t="s">
        <v>2098</v>
      </c>
      <c r="W8" s="5" t="s">
        <v>2099</v>
      </c>
      <c r="X8" s="5" t="s">
        <v>747</v>
      </c>
      <c r="Y8" s="5" t="s">
        <v>2072</v>
      </c>
      <c r="Z8" s="5" t="s">
        <v>108</v>
      </c>
      <c r="AA8" s="5" t="s">
        <v>440</v>
      </c>
      <c r="AB8" s="6" t="s">
        <v>2100</v>
      </c>
    </row>
    <row r="9" spans="1:28" ht="70.349999999999994" customHeight="1">
      <c r="A9" s="5" t="s">
        <v>442</v>
      </c>
      <c r="B9" s="5" t="s">
        <v>108</v>
      </c>
      <c r="C9" s="5" t="s">
        <v>443</v>
      </c>
      <c r="D9" s="5" t="s">
        <v>2101</v>
      </c>
      <c r="E9" s="5" t="s">
        <v>445</v>
      </c>
      <c r="F9" s="5" t="s">
        <v>363</v>
      </c>
      <c r="G9" s="5" t="s">
        <v>105</v>
      </c>
      <c r="H9" s="5" t="s">
        <v>106</v>
      </c>
      <c r="I9" s="5" t="s">
        <v>446</v>
      </c>
      <c r="J9" s="5" t="s">
        <v>448</v>
      </c>
      <c r="K9" s="5" t="s">
        <v>2033</v>
      </c>
      <c r="L9" s="5" t="s">
        <v>449</v>
      </c>
      <c r="M9" s="5" t="s">
        <v>2102</v>
      </c>
      <c r="N9" s="5" t="s">
        <v>2103</v>
      </c>
      <c r="O9" s="5" t="s">
        <v>2104</v>
      </c>
      <c r="P9" s="5" t="s">
        <v>2105</v>
      </c>
      <c r="Q9" s="5" t="s">
        <v>2106</v>
      </c>
      <c r="R9" s="5" t="s">
        <v>2107</v>
      </c>
      <c r="S9" s="5" t="s">
        <v>2108</v>
      </c>
      <c r="T9" s="5" t="s">
        <v>2109</v>
      </c>
      <c r="U9" s="5" t="s">
        <v>2110</v>
      </c>
      <c r="V9" s="5" t="s">
        <v>2111</v>
      </c>
      <c r="W9" s="5" t="s">
        <v>2112</v>
      </c>
      <c r="X9" s="5" t="s">
        <v>747</v>
      </c>
      <c r="Y9" s="5" t="s">
        <v>2113</v>
      </c>
      <c r="Z9" s="5" t="s">
        <v>108</v>
      </c>
      <c r="AA9" s="5" t="s">
        <v>450</v>
      </c>
      <c r="AB9" s="6" t="s">
        <v>2114</v>
      </c>
    </row>
    <row r="10" spans="1:28" ht="67.2" customHeight="1">
      <c r="A10" s="5" t="s">
        <v>452</v>
      </c>
      <c r="B10" s="5" t="s">
        <v>108</v>
      </c>
      <c r="C10" s="5" t="s">
        <v>382</v>
      </c>
      <c r="D10" s="5" t="s">
        <v>2115</v>
      </c>
      <c r="E10" s="5" t="s">
        <v>454</v>
      </c>
      <c r="F10" s="5" t="s">
        <v>383</v>
      </c>
      <c r="G10" s="5" t="s">
        <v>105</v>
      </c>
      <c r="H10" s="5" t="s">
        <v>106</v>
      </c>
      <c r="I10" s="5" t="s">
        <v>455</v>
      </c>
      <c r="J10" s="5" t="s">
        <v>457</v>
      </c>
      <c r="K10" s="5" t="s">
        <v>2033</v>
      </c>
      <c r="L10" s="5" t="s">
        <v>458</v>
      </c>
      <c r="M10" s="5" t="s">
        <v>2116</v>
      </c>
      <c r="N10" s="5" t="s">
        <v>2117</v>
      </c>
      <c r="O10" s="5" t="s">
        <v>2118</v>
      </c>
      <c r="P10" s="5" t="s">
        <v>2119</v>
      </c>
      <c r="Q10" s="5" t="s">
        <v>2120</v>
      </c>
      <c r="R10" s="5" t="s">
        <v>2121</v>
      </c>
      <c r="S10" s="5" t="s">
        <v>2122</v>
      </c>
      <c r="T10" s="5" t="s">
        <v>2123</v>
      </c>
      <c r="U10" s="5" t="s">
        <v>2124</v>
      </c>
      <c r="V10" s="5" t="s">
        <v>2125</v>
      </c>
      <c r="W10" s="5" t="s">
        <v>2126</v>
      </c>
      <c r="X10" s="5" t="s">
        <v>1387</v>
      </c>
      <c r="Y10" s="5" t="s">
        <v>2030</v>
      </c>
      <c r="Z10" s="5" t="s">
        <v>108</v>
      </c>
      <c r="AA10" s="5" t="s">
        <v>459</v>
      </c>
      <c r="AB10" s="6" t="s">
        <v>2127</v>
      </c>
    </row>
    <row r="11" spans="1:28" ht="70.349999999999994" customHeight="1">
      <c r="A11" s="5" t="s">
        <v>461</v>
      </c>
      <c r="B11" s="5" t="s">
        <v>108</v>
      </c>
      <c r="C11" s="5" t="s">
        <v>443</v>
      </c>
      <c r="D11" s="5" t="s">
        <v>2128</v>
      </c>
      <c r="E11" s="5" t="s">
        <v>463</v>
      </c>
      <c r="F11" s="5" t="s">
        <v>166</v>
      </c>
      <c r="G11" s="5" t="s">
        <v>105</v>
      </c>
      <c r="H11" s="5" t="s">
        <v>106</v>
      </c>
      <c r="I11" s="5" t="s">
        <v>465</v>
      </c>
      <c r="J11" s="5" t="s">
        <v>467</v>
      </c>
      <c r="K11" s="5" t="s">
        <v>2033</v>
      </c>
      <c r="L11" s="5" t="s">
        <v>468</v>
      </c>
      <c r="M11" s="5" t="s">
        <v>2129</v>
      </c>
      <c r="N11" s="5" t="s">
        <v>2130</v>
      </c>
      <c r="O11" s="5" t="s">
        <v>2131</v>
      </c>
      <c r="P11" s="5" t="s">
        <v>2132</v>
      </c>
      <c r="Q11" s="5" t="s">
        <v>2133</v>
      </c>
      <c r="R11" s="5" t="s">
        <v>2134</v>
      </c>
      <c r="S11" s="5" t="s">
        <v>2135</v>
      </c>
      <c r="T11" s="5" t="s">
        <v>2136</v>
      </c>
      <c r="U11" s="5" t="s">
        <v>2137</v>
      </c>
      <c r="V11" s="5" t="s">
        <v>2138</v>
      </c>
      <c r="W11" s="5" t="s">
        <v>2139</v>
      </c>
      <c r="X11" s="5" t="s">
        <v>747</v>
      </c>
      <c r="Y11" s="5" t="s">
        <v>2113</v>
      </c>
      <c r="Z11" s="5" t="s">
        <v>108</v>
      </c>
      <c r="AA11" s="5" t="s">
        <v>469</v>
      </c>
      <c r="AB11" s="6" t="s">
        <v>2140</v>
      </c>
    </row>
    <row r="12" spans="1:28" ht="68.849999999999994" customHeight="1">
      <c r="A12" s="5" t="s">
        <v>471</v>
      </c>
      <c r="B12" s="5" t="s">
        <v>108</v>
      </c>
      <c r="C12" s="5" t="s">
        <v>425</v>
      </c>
      <c r="D12" s="5" t="s">
        <v>2141</v>
      </c>
      <c r="E12" s="5" t="s">
        <v>473</v>
      </c>
      <c r="F12" s="5" t="s">
        <v>166</v>
      </c>
      <c r="G12" s="5" t="s">
        <v>105</v>
      </c>
      <c r="H12" s="5" t="s">
        <v>106</v>
      </c>
      <c r="I12" s="5" t="s">
        <v>475</v>
      </c>
      <c r="J12" s="5" t="s">
        <v>477</v>
      </c>
      <c r="K12" s="5" t="s">
        <v>2033</v>
      </c>
      <c r="L12" s="5" t="s">
        <v>478</v>
      </c>
      <c r="M12" s="5" t="s">
        <v>2142</v>
      </c>
      <c r="N12" s="5" t="s">
        <v>2143</v>
      </c>
      <c r="O12" s="5" t="s">
        <v>2144</v>
      </c>
      <c r="P12" s="5" t="s">
        <v>2145</v>
      </c>
      <c r="Q12" s="5" t="s">
        <v>2146</v>
      </c>
      <c r="R12" s="5" t="s">
        <v>2147</v>
      </c>
      <c r="S12" s="5" t="s">
        <v>2148</v>
      </c>
      <c r="T12" s="5" t="s">
        <v>2149</v>
      </c>
      <c r="U12" s="5" t="s">
        <v>2150</v>
      </c>
      <c r="V12" s="5" t="s">
        <v>2151</v>
      </c>
      <c r="W12" s="5" t="s">
        <v>2152</v>
      </c>
      <c r="X12" s="5" t="s">
        <v>747</v>
      </c>
      <c r="Y12" s="5" t="s">
        <v>2086</v>
      </c>
      <c r="Z12" s="5" t="s">
        <v>108</v>
      </c>
      <c r="AA12" s="5" t="s">
        <v>479</v>
      </c>
      <c r="AB12" s="6" t="s">
        <v>2153</v>
      </c>
    </row>
    <row r="13" spans="1:28" ht="68.849999999999994" customHeight="1">
      <c r="A13" s="5" t="s">
        <v>481</v>
      </c>
      <c r="B13" s="5" t="s">
        <v>108</v>
      </c>
      <c r="C13" s="5" t="s">
        <v>425</v>
      </c>
      <c r="D13" s="5" t="s">
        <v>2154</v>
      </c>
      <c r="E13" s="5" t="s">
        <v>484</v>
      </c>
      <c r="F13" s="5" t="s">
        <v>482</v>
      </c>
      <c r="G13" s="5" t="s">
        <v>123</v>
      </c>
      <c r="H13" s="5" t="s">
        <v>106</v>
      </c>
      <c r="I13" s="5" t="s">
        <v>486</v>
      </c>
      <c r="J13" s="5" t="s">
        <v>430</v>
      </c>
      <c r="K13" s="5" t="s">
        <v>2033</v>
      </c>
      <c r="L13" s="5" t="s">
        <v>488</v>
      </c>
      <c r="M13" s="5" t="s">
        <v>2155</v>
      </c>
      <c r="N13" s="5" t="s">
        <v>2156</v>
      </c>
      <c r="O13" s="5" t="s">
        <v>2157</v>
      </c>
      <c r="P13" s="5" t="s">
        <v>2158</v>
      </c>
      <c r="Q13" s="5" t="s">
        <v>2159</v>
      </c>
      <c r="R13" s="5" t="s">
        <v>2160</v>
      </c>
      <c r="S13" s="5" t="s">
        <v>2161</v>
      </c>
      <c r="T13" s="5" t="s">
        <v>2162</v>
      </c>
      <c r="U13" s="5" t="s">
        <v>2163</v>
      </c>
      <c r="V13" s="5" t="s">
        <v>2164</v>
      </c>
      <c r="W13" s="5" t="s">
        <v>2165</v>
      </c>
      <c r="X13" s="5" t="s">
        <v>747</v>
      </c>
      <c r="Y13" s="5" t="s">
        <v>2086</v>
      </c>
      <c r="Z13" s="5" t="s">
        <v>108</v>
      </c>
      <c r="AA13" s="5" t="s">
        <v>489</v>
      </c>
      <c r="AB13" s="6" t="s">
        <v>2166</v>
      </c>
    </row>
    <row r="14" spans="1:28" ht="68.849999999999994" customHeight="1">
      <c r="A14" s="5" t="s">
        <v>491</v>
      </c>
      <c r="B14" s="5" t="s">
        <v>108</v>
      </c>
      <c r="C14" s="5" t="s">
        <v>425</v>
      </c>
      <c r="D14" s="5" t="s">
        <v>2167</v>
      </c>
      <c r="E14" s="5" t="s">
        <v>493</v>
      </c>
      <c r="F14" s="5" t="s">
        <v>119</v>
      </c>
      <c r="G14" s="5" t="s">
        <v>123</v>
      </c>
      <c r="H14" s="5" t="s">
        <v>106</v>
      </c>
      <c r="I14" s="5" t="s">
        <v>495</v>
      </c>
      <c r="J14" s="5" t="s">
        <v>430</v>
      </c>
      <c r="K14" s="5" t="s">
        <v>2033</v>
      </c>
      <c r="L14" s="5" t="s">
        <v>497</v>
      </c>
      <c r="M14" s="5" t="s">
        <v>2168</v>
      </c>
      <c r="N14" s="5" t="s">
        <v>2169</v>
      </c>
      <c r="O14" s="5" t="s">
        <v>2170</v>
      </c>
      <c r="P14" s="5" t="s">
        <v>2171</v>
      </c>
      <c r="Q14" s="5" t="s">
        <v>2172</v>
      </c>
      <c r="R14" s="5" t="s">
        <v>2173</v>
      </c>
      <c r="S14" s="5" t="s">
        <v>2174</v>
      </c>
      <c r="T14" s="5" t="s">
        <v>2175</v>
      </c>
      <c r="U14" s="5" t="s">
        <v>2176</v>
      </c>
      <c r="V14" s="5" t="s">
        <v>2177</v>
      </c>
      <c r="W14" s="5" t="s">
        <v>2178</v>
      </c>
      <c r="X14" s="5" t="s">
        <v>1387</v>
      </c>
      <c r="Y14" s="5" t="s">
        <v>2086</v>
      </c>
      <c r="Z14" s="5" t="s">
        <v>108</v>
      </c>
      <c r="AA14" s="5" t="s">
        <v>498</v>
      </c>
      <c r="AB14" s="6" t="s">
        <v>2179</v>
      </c>
    </row>
    <row r="15" spans="1:28" ht="68.849999999999994" customHeight="1">
      <c r="A15" s="5" t="s">
        <v>500</v>
      </c>
      <c r="B15" s="5" t="s">
        <v>108</v>
      </c>
      <c r="C15" s="5" t="s">
        <v>425</v>
      </c>
      <c r="D15" s="5" t="s">
        <v>2180</v>
      </c>
      <c r="E15" s="5" t="s">
        <v>502</v>
      </c>
      <c r="F15" s="5" t="s">
        <v>119</v>
      </c>
      <c r="G15" s="5" t="s">
        <v>123</v>
      </c>
      <c r="H15" s="5" t="s">
        <v>106</v>
      </c>
      <c r="I15" s="5" t="s">
        <v>504</v>
      </c>
      <c r="J15" s="5" t="s">
        <v>430</v>
      </c>
      <c r="K15" s="5" t="s">
        <v>2033</v>
      </c>
      <c r="L15" s="5" t="s">
        <v>506</v>
      </c>
      <c r="M15" s="5" t="s">
        <v>2181</v>
      </c>
      <c r="N15" s="5" t="s">
        <v>2182</v>
      </c>
      <c r="O15" s="5" t="s">
        <v>2183</v>
      </c>
      <c r="P15" s="5" t="s">
        <v>2184</v>
      </c>
      <c r="Q15" s="5" t="s">
        <v>2185</v>
      </c>
      <c r="R15" s="5" t="s">
        <v>2186</v>
      </c>
      <c r="S15" s="5" t="s">
        <v>2187</v>
      </c>
      <c r="T15" s="5" t="s">
        <v>2188</v>
      </c>
      <c r="U15" s="5" t="s">
        <v>2189</v>
      </c>
      <c r="V15" s="5" t="s">
        <v>2190</v>
      </c>
      <c r="W15" s="5" t="s">
        <v>2191</v>
      </c>
      <c r="X15" s="5" t="s">
        <v>1387</v>
      </c>
      <c r="Y15" s="5" t="s">
        <v>2086</v>
      </c>
      <c r="Z15" s="5" t="s">
        <v>108</v>
      </c>
      <c r="AA15" s="5" t="s">
        <v>507</v>
      </c>
      <c r="AB15" s="6" t="s">
        <v>2192</v>
      </c>
    </row>
    <row r="16" spans="1:28" ht="220.8">
      <c r="A16" s="5" t="s">
        <v>509</v>
      </c>
      <c r="B16" s="5" t="s">
        <v>99</v>
      </c>
      <c r="C16" s="5" t="s">
        <v>2193</v>
      </c>
      <c r="D16" s="5" t="s">
        <v>2194</v>
      </c>
      <c r="E16" s="5" t="s">
        <v>511</v>
      </c>
      <c r="F16" s="5" t="s">
        <v>101</v>
      </c>
      <c r="G16" s="5" t="s">
        <v>105</v>
      </c>
      <c r="H16" s="5" t="s">
        <v>106</v>
      </c>
      <c r="I16" s="5" t="s">
        <v>513</v>
      </c>
      <c r="J16" s="5" t="s">
        <v>515</v>
      </c>
      <c r="K16" s="5" t="s">
        <v>2033</v>
      </c>
      <c r="L16" s="5" t="s">
        <v>516</v>
      </c>
      <c r="M16" s="5" t="s">
        <v>2195</v>
      </c>
      <c r="N16" s="5" t="s">
        <v>2196</v>
      </c>
      <c r="O16" s="5" t="s">
        <v>2197</v>
      </c>
      <c r="P16" s="5" t="s">
        <v>2198</v>
      </c>
      <c r="Q16" s="5" t="s">
        <v>2199</v>
      </c>
      <c r="R16" s="5" t="s">
        <v>2200</v>
      </c>
      <c r="S16" s="5" t="s">
        <v>2201</v>
      </c>
      <c r="T16" s="5" t="s">
        <v>2202</v>
      </c>
      <c r="U16" s="5" t="s">
        <v>2203</v>
      </c>
      <c r="V16" s="5" t="s">
        <v>2204</v>
      </c>
      <c r="W16" s="5" t="s">
        <v>2205</v>
      </c>
      <c r="X16" s="5" t="s">
        <v>747</v>
      </c>
      <c r="Y16" s="5" t="s">
        <v>749</v>
      </c>
      <c r="Z16" s="5" t="s">
        <v>108</v>
      </c>
      <c r="AA16" s="5" t="s">
        <v>517</v>
      </c>
      <c r="AB16" s="6" t="s">
        <v>2206</v>
      </c>
    </row>
    <row r="17" spans="1:28" ht="67.2" customHeight="1">
      <c r="A17" s="5" t="s">
        <v>518</v>
      </c>
      <c r="B17" s="5" t="s">
        <v>108</v>
      </c>
      <c r="C17" s="5" t="s">
        <v>382</v>
      </c>
      <c r="D17" s="5" t="s">
        <v>2167</v>
      </c>
      <c r="E17" s="5" t="s">
        <v>521</v>
      </c>
      <c r="F17" s="5" t="s">
        <v>519</v>
      </c>
      <c r="G17" s="5" t="s">
        <v>123</v>
      </c>
      <c r="H17" s="5" t="s">
        <v>106</v>
      </c>
      <c r="I17" s="5" t="s">
        <v>523</v>
      </c>
      <c r="J17" s="5" t="s">
        <v>457</v>
      </c>
      <c r="K17" s="5" t="s">
        <v>2033</v>
      </c>
      <c r="L17" s="5" t="s">
        <v>525</v>
      </c>
      <c r="M17" s="5" t="s">
        <v>2207</v>
      </c>
      <c r="N17" s="5" t="s">
        <v>2208</v>
      </c>
      <c r="O17" s="5" t="s">
        <v>2209</v>
      </c>
      <c r="P17" s="5" t="s">
        <v>2210</v>
      </c>
      <c r="Q17" s="5" t="s">
        <v>2211</v>
      </c>
      <c r="R17" s="5" t="s">
        <v>2212</v>
      </c>
      <c r="S17" s="5" t="s">
        <v>2213</v>
      </c>
      <c r="T17" s="5" t="s">
        <v>2214</v>
      </c>
      <c r="U17" s="5" t="s">
        <v>2215</v>
      </c>
      <c r="V17" s="5" t="s">
        <v>2216</v>
      </c>
      <c r="W17" s="5" t="s">
        <v>2217</v>
      </c>
      <c r="X17" s="5" t="s">
        <v>747</v>
      </c>
      <c r="Y17" s="5" t="s">
        <v>2030</v>
      </c>
      <c r="Z17" s="5" t="s">
        <v>108</v>
      </c>
      <c r="AA17" s="5" t="s">
        <v>526</v>
      </c>
      <c r="AB17" s="6" t="s">
        <v>2218</v>
      </c>
    </row>
    <row r="18" spans="1:28" ht="220.8">
      <c r="A18" s="5" t="s">
        <v>528</v>
      </c>
      <c r="B18" s="5" t="s">
        <v>99</v>
      </c>
      <c r="C18" s="5" t="s">
        <v>2193</v>
      </c>
      <c r="D18" s="5" t="s">
        <v>2194</v>
      </c>
      <c r="E18" s="5" t="s">
        <v>530</v>
      </c>
      <c r="F18" s="5" t="s">
        <v>166</v>
      </c>
      <c r="G18" s="5" t="s">
        <v>105</v>
      </c>
      <c r="H18" s="5" t="s">
        <v>106</v>
      </c>
      <c r="I18" s="5" t="s">
        <v>532</v>
      </c>
      <c r="J18" s="5" t="s">
        <v>534</v>
      </c>
      <c r="K18" s="5" t="s">
        <v>2033</v>
      </c>
      <c r="L18" s="5" t="s">
        <v>535</v>
      </c>
      <c r="M18" s="5" t="s">
        <v>2219</v>
      </c>
      <c r="N18" s="5" t="s">
        <v>2220</v>
      </c>
      <c r="O18" s="5" t="s">
        <v>2221</v>
      </c>
      <c r="P18" s="5" t="s">
        <v>2222</v>
      </c>
      <c r="Q18" s="5" t="s">
        <v>2223</v>
      </c>
      <c r="R18" s="5" t="s">
        <v>2224</v>
      </c>
      <c r="S18" s="5" t="s">
        <v>2225</v>
      </c>
      <c r="T18" s="5" t="s">
        <v>2226</v>
      </c>
      <c r="U18" s="5" t="s">
        <v>2227</v>
      </c>
      <c r="V18" s="5" t="s">
        <v>2228</v>
      </c>
      <c r="W18" s="5" t="s">
        <v>2229</v>
      </c>
      <c r="X18" s="5" t="s">
        <v>747</v>
      </c>
      <c r="Y18" s="5" t="s">
        <v>749</v>
      </c>
      <c r="Z18" s="5" t="s">
        <v>108</v>
      </c>
      <c r="AA18" s="5" t="s">
        <v>536</v>
      </c>
      <c r="AB18" s="6" t="s">
        <v>2230</v>
      </c>
    </row>
    <row r="19" spans="1:28" ht="70.349999999999994" customHeight="1">
      <c r="A19" s="5" t="s">
        <v>537</v>
      </c>
      <c r="B19" s="5" t="s">
        <v>108</v>
      </c>
      <c r="C19" s="5" t="s">
        <v>443</v>
      </c>
      <c r="D19" s="5" t="s">
        <v>2231</v>
      </c>
      <c r="E19" s="5" t="s">
        <v>539</v>
      </c>
      <c r="F19" s="5" t="s">
        <v>225</v>
      </c>
      <c r="G19" s="5" t="s">
        <v>123</v>
      </c>
      <c r="H19" s="5" t="s">
        <v>106</v>
      </c>
      <c r="I19" s="5" t="s">
        <v>541</v>
      </c>
      <c r="J19" s="5" t="s">
        <v>543</v>
      </c>
      <c r="K19" s="5" t="s">
        <v>2033</v>
      </c>
      <c r="L19" s="5" t="s">
        <v>544</v>
      </c>
      <c r="M19" s="5" t="s">
        <v>2232</v>
      </c>
      <c r="N19" s="5" t="s">
        <v>2233</v>
      </c>
      <c r="O19" s="5" t="s">
        <v>2234</v>
      </c>
      <c r="P19" s="5" t="s">
        <v>2235</v>
      </c>
      <c r="Q19" s="5" t="s">
        <v>2236</v>
      </c>
      <c r="R19" s="5" t="s">
        <v>2237</v>
      </c>
      <c r="S19" s="5" t="s">
        <v>2238</v>
      </c>
      <c r="T19" s="5" t="s">
        <v>2239</v>
      </c>
      <c r="U19" s="5" t="s">
        <v>2240</v>
      </c>
      <c r="V19" s="5" t="s">
        <v>2241</v>
      </c>
      <c r="W19" s="5" t="s">
        <v>2242</v>
      </c>
      <c r="X19" s="5" t="s">
        <v>747</v>
      </c>
      <c r="Y19" s="5" t="s">
        <v>2113</v>
      </c>
      <c r="Z19" s="5" t="s">
        <v>108</v>
      </c>
      <c r="AA19" s="5" t="s">
        <v>546</v>
      </c>
      <c r="AB19" s="6" t="s">
        <v>2243</v>
      </c>
    </row>
    <row r="20" spans="1:28" ht="331.2">
      <c r="A20" s="5" t="s">
        <v>548</v>
      </c>
      <c r="B20" s="5" t="s">
        <v>99</v>
      </c>
      <c r="C20" s="5" t="s">
        <v>2193</v>
      </c>
      <c r="D20" s="5" t="s">
        <v>2244</v>
      </c>
      <c r="E20" s="5" t="s">
        <v>550</v>
      </c>
      <c r="F20" s="5" t="s">
        <v>101</v>
      </c>
      <c r="G20" s="5" t="s">
        <v>105</v>
      </c>
      <c r="H20" s="5" t="s">
        <v>106</v>
      </c>
      <c r="I20" s="5" t="s">
        <v>551</v>
      </c>
      <c r="J20" s="5" t="s">
        <v>448</v>
      </c>
      <c r="K20" s="5" t="s">
        <v>2033</v>
      </c>
      <c r="L20" s="5" t="s">
        <v>553</v>
      </c>
      <c r="M20" s="5" t="s">
        <v>2245</v>
      </c>
      <c r="N20" s="5" t="s">
        <v>2246</v>
      </c>
      <c r="O20" s="5" t="s">
        <v>2247</v>
      </c>
      <c r="P20" s="5" t="s">
        <v>2248</v>
      </c>
      <c r="Q20" s="5" t="s">
        <v>2249</v>
      </c>
      <c r="R20" s="5" t="s">
        <v>2250</v>
      </c>
      <c r="S20" s="5" t="s">
        <v>2251</v>
      </c>
      <c r="T20" s="5" t="s">
        <v>2252</v>
      </c>
      <c r="U20" s="5" t="s">
        <v>2253</v>
      </c>
      <c r="V20" s="5" t="s">
        <v>2254</v>
      </c>
      <c r="W20" s="5" t="s">
        <v>2255</v>
      </c>
      <c r="X20" s="5" t="s">
        <v>747</v>
      </c>
      <c r="Y20" s="5" t="s">
        <v>749</v>
      </c>
      <c r="Z20" s="5" t="s">
        <v>108</v>
      </c>
      <c r="AA20" s="5" t="s">
        <v>554</v>
      </c>
      <c r="AB20" s="6" t="s">
        <v>2256</v>
      </c>
    </row>
    <row r="21" spans="1:28" ht="68.849999999999994" customHeight="1">
      <c r="A21" s="5" t="s">
        <v>556</v>
      </c>
      <c r="B21" s="5" t="s">
        <v>108</v>
      </c>
      <c r="C21" s="5" t="s">
        <v>425</v>
      </c>
      <c r="D21" s="5" t="s">
        <v>2257</v>
      </c>
      <c r="E21" s="5" t="s">
        <v>558</v>
      </c>
      <c r="F21" s="5" t="s">
        <v>101</v>
      </c>
      <c r="G21" s="5" t="s">
        <v>105</v>
      </c>
      <c r="H21" s="5" t="s">
        <v>106</v>
      </c>
      <c r="I21" s="5" t="s">
        <v>560</v>
      </c>
      <c r="J21" s="5" t="s">
        <v>562</v>
      </c>
      <c r="K21" s="5" t="s">
        <v>2033</v>
      </c>
      <c r="L21" s="5" t="s">
        <v>563</v>
      </c>
      <c r="M21" s="5" t="s">
        <v>2258</v>
      </c>
      <c r="N21" s="5" t="s">
        <v>2259</v>
      </c>
      <c r="O21" s="5" t="s">
        <v>2260</v>
      </c>
      <c r="P21" s="5" t="s">
        <v>2261</v>
      </c>
      <c r="Q21" s="5" t="s">
        <v>2262</v>
      </c>
      <c r="R21" s="5" t="s">
        <v>2263</v>
      </c>
      <c r="S21" s="5" t="s">
        <v>2264</v>
      </c>
      <c r="T21" s="5" t="s">
        <v>2265</v>
      </c>
      <c r="U21" s="5" t="s">
        <v>2266</v>
      </c>
      <c r="V21" s="5" t="s">
        <v>2267</v>
      </c>
      <c r="W21" s="5" t="s">
        <v>2268</v>
      </c>
      <c r="X21" s="5" t="s">
        <v>747</v>
      </c>
      <c r="Y21" s="5" t="s">
        <v>2086</v>
      </c>
      <c r="Z21" s="5" t="s">
        <v>108</v>
      </c>
      <c r="AA21" s="5" t="s">
        <v>564</v>
      </c>
      <c r="AB21" s="6" t="s">
        <v>2269</v>
      </c>
    </row>
    <row r="22" spans="1:28" ht="72" customHeight="1">
      <c r="A22" s="5" t="s">
        <v>566</v>
      </c>
      <c r="B22" s="5" t="s">
        <v>108</v>
      </c>
      <c r="C22" s="5" t="s">
        <v>2270</v>
      </c>
      <c r="D22" s="5" t="s">
        <v>2271</v>
      </c>
      <c r="E22" s="5" t="s">
        <v>569</v>
      </c>
      <c r="F22" s="5" t="s">
        <v>166</v>
      </c>
      <c r="G22" s="5" t="s">
        <v>105</v>
      </c>
      <c r="H22" s="5" t="s">
        <v>106</v>
      </c>
      <c r="I22" s="5" t="s">
        <v>571</v>
      </c>
      <c r="J22" s="5" t="s">
        <v>418</v>
      </c>
      <c r="K22" s="5" t="s">
        <v>2033</v>
      </c>
      <c r="L22" s="5" t="s">
        <v>573</v>
      </c>
      <c r="M22" s="5" t="s">
        <v>2272</v>
      </c>
      <c r="N22" s="5" t="s">
        <v>2273</v>
      </c>
      <c r="O22" s="5" t="s">
        <v>2274</v>
      </c>
      <c r="P22" s="5" t="s">
        <v>2275</v>
      </c>
      <c r="Q22" s="5" t="s">
        <v>2276</v>
      </c>
      <c r="R22" s="5" t="s">
        <v>2277</v>
      </c>
      <c r="S22" s="5" t="s">
        <v>2278</v>
      </c>
      <c r="T22" s="5" t="s">
        <v>2279</v>
      </c>
      <c r="U22" s="5" t="s">
        <v>2280</v>
      </c>
      <c r="V22" s="5" t="s">
        <v>2281</v>
      </c>
      <c r="W22" s="5" t="s">
        <v>2282</v>
      </c>
      <c r="X22" s="5" t="s">
        <v>1387</v>
      </c>
      <c r="Y22" s="5" t="s">
        <v>2283</v>
      </c>
      <c r="Z22" s="5" t="s">
        <v>108</v>
      </c>
      <c r="AA22" s="5" t="s">
        <v>575</v>
      </c>
      <c r="AB22" s="6" t="s">
        <v>2284</v>
      </c>
    </row>
    <row r="23" spans="1:28" ht="72" customHeight="1">
      <c r="A23" s="5" t="s">
        <v>577</v>
      </c>
      <c r="B23" s="5" t="s">
        <v>108</v>
      </c>
      <c r="C23" s="5" t="s">
        <v>578</v>
      </c>
      <c r="D23" s="5" t="s">
        <v>2285</v>
      </c>
      <c r="E23" s="5" t="s">
        <v>580</v>
      </c>
      <c r="F23" s="5" t="s">
        <v>225</v>
      </c>
      <c r="G23" s="5" t="s">
        <v>105</v>
      </c>
      <c r="H23" s="5" t="s">
        <v>106</v>
      </c>
      <c r="I23" s="5" t="s">
        <v>581</v>
      </c>
      <c r="J23" s="5" t="s">
        <v>534</v>
      </c>
      <c r="K23" s="5" t="s">
        <v>2033</v>
      </c>
      <c r="L23" s="5" t="s">
        <v>583</v>
      </c>
      <c r="M23" s="5" t="s">
        <v>2286</v>
      </c>
      <c r="N23" s="5" t="s">
        <v>2287</v>
      </c>
      <c r="O23" s="5" t="s">
        <v>2288</v>
      </c>
      <c r="P23" s="5" t="s">
        <v>2289</v>
      </c>
      <c r="Q23" s="5" t="s">
        <v>2290</v>
      </c>
      <c r="R23" s="5" t="s">
        <v>2291</v>
      </c>
      <c r="S23" s="5" t="s">
        <v>2292</v>
      </c>
      <c r="T23" s="5" t="s">
        <v>2293</v>
      </c>
      <c r="U23" s="5" t="s">
        <v>2294</v>
      </c>
      <c r="V23" s="5" t="s">
        <v>2295</v>
      </c>
      <c r="W23" s="5" t="s">
        <v>2296</v>
      </c>
      <c r="X23" s="5" t="s">
        <v>747</v>
      </c>
      <c r="Y23" s="5" t="s">
        <v>2297</v>
      </c>
      <c r="Z23" s="5" t="s">
        <v>108</v>
      </c>
      <c r="AA23" s="5" t="s">
        <v>584</v>
      </c>
      <c r="AB23" s="6" t="s">
        <v>2298</v>
      </c>
    </row>
    <row r="24" spans="1:28" ht="67.2" customHeight="1">
      <c r="A24" s="5" t="s">
        <v>586</v>
      </c>
      <c r="B24" s="5" t="s">
        <v>108</v>
      </c>
      <c r="C24" s="5" t="s">
        <v>382</v>
      </c>
      <c r="D24" s="5" t="s">
        <v>2299</v>
      </c>
      <c r="E24" s="5" t="s">
        <v>588</v>
      </c>
      <c r="F24" s="5" t="s">
        <v>519</v>
      </c>
      <c r="G24" s="5" t="s">
        <v>123</v>
      </c>
      <c r="H24" s="5" t="s">
        <v>106</v>
      </c>
      <c r="I24" s="5" t="s">
        <v>590</v>
      </c>
      <c r="J24" s="5" t="s">
        <v>457</v>
      </c>
      <c r="K24" s="5" t="s">
        <v>2033</v>
      </c>
      <c r="L24" s="5" t="s">
        <v>592</v>
      </c>
      <c r="M24" s="5" t="s">
        <v>2300</v>
      </c>
      <c r="N24" s="5" t="s">
        <v>2301</v>
      </c>
      <c r="O24" s="5" t="s">
        <v>2302</v>
      </c>
      <c r="P24" s="5" t="s">
        <v>2303</v>
      </c>
      <c r="Q24" s="5" t="s">
        <v>2304</v>
      </c>
      <c r="R24" s="5" t="s">
        <v>2305</v>
      </c>
      <c r="S24" s="5" t="s">
        <v>2306</v>
      </c>
      <c r="T24" s="5" t="s">
        <v>2307</v>
      </c>
      <c r="U24" s="5" t="s">
        <v>2308</v>
      </c>
      <c r="V24" s="5" t="s">
        <v>2309</v>
      </c>
      <c r="W24" s="5" t="s">
        <v>2310</v>
      </c>
      <c r="X24" s="5" t="s">
        <v>1340</v>
      </c>
      <c r="Y24" s="5" t="s">
        <v>2030</v>
      </c>
      <c r="Z24" s="5" t="s">
        <v>108</v>
      </c>
      <c r="AA24" s="5" t="s">
        <v>593</v>
      </c>
      <c r="AB24" s="6" t="s">
        <v>2311</v>
      </c>
    </row>
    <row r="25" spans="1:28" ht="70.349999999999994" customHeight="1">
      <c r="A25" s="5" t="s">
        <v>595</v>
      </c>
      <c r="B25" s="5" t="s">
        <v>108</v>
      </c>
      <c r="C25" s="5" t="s">
        <v>596</v>
      </c>
      <c r="D25" s="5" t="s">
        <v>2312</v>
      </c>
      <c r="E25" s="5" t="s">
        <v>598</v>
      </c>
      <c r="F25" s="5" t="s">
        <v>166</v>
      </c>
      <c r="G25" s="5" t="s">
        <v>105</v>
      </c>
      <c r="H25" s="5" t="s">
        <v>106</v>
      </c>
      <c r="I25" s="5" t="s">
        <v>600</v>
      </c>
      <c r="J25" s="5" t="s">
        <v>602</v>
      </c>
      <c r="K25" s="5" t="s">
        <v>2033</v>
      </c>
      <c r="L25" s="5" t="s">
        <v>603</v>
      </c>
      <c r="M25" s="5" t="s">
        <v>2313</v>
      </c>
      <c r="N25" s="5" t="s">
        <v>2314</v>
      </c>
      <c r="O25" s="5" t="s">
        <v>2315</v>
      </c>
      <c r="P25" s="5" t="s">
        <v>2316</v>
      </c>
      <c r="Q25" s="5" t="s">
        <v>2317</v>
      </c>
      <c r="R25" s="5" t="s">
        <v>2318</v>
      </c>
      <c r="S25" s="5" t="s">
        <v>2319</v>
      </c>
      <c r="T25" s="5" t="s">
        <v>2320</v>
      </c>
      <c r="U25" s="5" t="s">
        <v>2321</v>
      </c>
      <c r="V25" s="5" t="s">
        <v>2322</v>
      </c>
      <c r="W25" s="5" t="s">
        <v>2323</v>
      </c>
      <c r="X25" s="5" t="s">
        <v>2324</v>
      </c>
      <c r="Y25" s="5" t="s">
        <v>2325</v>
      </c>
      <c r="Z25" s="5" t="s">
        <v>108</v>
      </c>
      <c r="AA25" s="5" t="s">
        <v>605</v>
      </c>
      <c r="AB25" s="6" t="s">
        <v>2326</v>
      </c>
    </row>
    <row r="26" spans="1:28" ht="72" customHeight="1">
      <c r="A26" s="5" t="s">
        <v>607</v>
      </c>
      <c r="B26" s="5" t="s">
        <v>108</v>
      </c>
      <c r="C26" s="5" t="s">
        <v>578</v>
      </c>
      <c r="D26" s="5" t="s">
        <v>2327</v>
      </c>
      <c r="E26" s="5" t="s">
        <v>609</v>
      </c>
      <c r="F26" s="5" t="s">
        <v>101</v>
      </c>
      <c r="G26" s="5" t="s">
        <v>105</v>
      </c>
      <c r="H26" s="5" t="s">
        <v>106</v>
      </c>
      <c r="I26" s="5" t="s">
        <v>611</v>
      </c>
      <c r="J26" s="5" t="s">
        <v>534</v>
      </c>
      <c r="K26" s="5" t="s">
        <v>2033</v>
      </c>
      <c r="L26" s="5" t="s">
        <v>613</v>
      </c>
      <c r="M26" s="5" t="s">
        <v>2328</v>
      </c>
      <c r="N26" s="5" t="s">
        <v>2329</v>
      </c>
      <c r="O26" s="5" t="s">
        <v>2330</v>
      </c>
      <c r="P26" s="5" t="s">
        <v>2331</v>
      </c>
      <c r="Q26" s="5" t="s">
        <v>2332</v>
      </c>
      <c r="R26" s="5" t="s">
        <v>2333</v>
      </c>
      <c r="S26" s="5" t="s">
        <v>2334</v>
      </c>
      <c r="T26" s="5" t="s">
        <v>2335</v>
      </c>
      <c r="U26" s="5" t="s">
        <v>2336</v>
      </c>
      <c r="V26" s="5" t="s">
        <v>2337</v>
      </c>
      <c r="W26" s="5" t="s">
        <v>2338</v>
      </c>
      <c r="X26" s="5" t="s">
        <v>747</v>
      </c>
      <c r="Y26" s="5" t="s">
        <v>2297</v>
      </c>
      <c r="Z26" s="5" t="s">
        <v>108</v>
      </c>
      <c r="AA26" s="5" t="s">
        <v>614</v>
      </c>
      <c r="AB26" s="6" t="s">
        <v>2339</v>
      </c>
    </row>
    <row r="27" spans="1:28" ht="70.349999999999994" customHeight="1">
      <c r="A27" s="5" t="s">
        <v>616</v>
      </c>
      <c r="B27" s="5" t="s">
        <v>108</v>
      </c>
      <c r="C27" s="5" t="s">
        <v>443</v>
      </c>
      <c r="D27" s="5" t="s">
        <v>2340</v>
      </c>
      <c r="E27" s="5" t="s">
        <v>618</v>
      </c>
      <c r="F27" s="5" t="s">
        <v>482</v>
      </c>
      <c r="G27" s="5" t="s">
        <v>123</v>
      </c>
      <c r="H27" s="5" t="s">
        <v>106</v>
      </c>
      <c r="I27" s="5" t="s">
        <v>620</v>
      </c>
      <c r="J27" s="5" t="s">
        <v>418</v>
      </c>
      <c r="K27" s="5" t="s">
        <v>2033</v>
      </c>
      <c r="L27" s="5" t="s">
        <v>622</v>
      </c>
      <c r="M27" s="5" t="s">
        <v>2341</v>
      </c>
      <c r="N27" s="5" t="s">
        <v>2342</v>
      </c>
      <c r="O27" s="5" t="s">
        <v>2343</v>
      </c>
      <c r="P27" s="5" t="s">
        <v>2344</v>
      </c>
      <c r="Q27" s="5" t="s">
        <v>2345</v>
      </c>
      <c r="R27" s="5" t="s">
        <v>2346</v>
      </c>
      <c r="S27" s="5" t="s">
        <v>2347</v>
      </c>
      <c r="T27" s="5" t="s">
        <v>2348</v>
      </c>
      <c r="U27" s="5" t="s">
        <v>2349</v>
      </c>
      <c r="V27" s="5" t="s">
        <v>2350</v>
      </c>
      <c r="W27" s="5" t="s">
        <v>2351</v>
      </c>
      <c r="X27" s="5" t="s">
        <v>747</v>
      </c>
      <c r="Y27" s="5" t="s">
        <v>2113</v>
      </c>
      <c r="Z27" s="5" t="s">
        <v>108</v>
      </c>
      <c r="AA27" s="5" t="s">
        <v>623</v>
      </c>
      <c r="AB27" s="6" t="s">
        <v>2352</v>
      </c>
    </row>
    <row r="28" spans="1:28" ht="70.349999999999994" customHeight="1">
      <c r="A28" s="2" t="s">
        <v>625</v>
      </c>
      <c r="B28" s="2" t="s">
        <v>108</v>
      </c>
      <c r="C28" s="2" t="s">
        <v>443</v>
      </c>
      <c r="D28" s="2" t="s">
        <v>2353</v>
      </c>
      <c r="E28" s="2" t="s">
        <v>627</v>
      </c>
      <c r="F28" s="2" t="s">
        <v>119</v>
      </c>
      <c r="G28" s="2" t="s">
        <v>105</v>
      </c>
      <c r="H28" s="2" t="s">
        <v>106</v>
      </c>
      <c r="I28" s="2" t="s">
        <v>629</v>
      </c>
      <c r="J28" s="2" t="s">
        <v>418</v>
      </c>
      <c r="K28" s="2" t="s">
        <v>2033</v>
      </c>
      <c r="L28" s="2" t="s">
        <v>631</v>
      </c>
      <c r="M28" s="2" t="s">
        <v>2354</v>
      </c>
      <c r="N28" s="2" t="s">
        <v>2355</v>
      </c>
      <c r="O28" s="2" t="s">
        <v>2356</v>
      </c>
      <c r="P28" s="2" t="s">
        <v>2357</v>
      </c>
      <c r="Q28" s="2" t="s">
        <v>2358</v>
      </c>
      <c r="R28" s="2" t="s">
        <v>2359</v>
      </c>
      <c r="S28" s="2" t="s">
        <v>2360</v>
      </c>
      <c r="T28" s="2" t="s">
        <v>2361</v>
      </c>
      <c r="U28" s="2" t="s">
        <v>2362</v>
      </c>
      <c r="V28" s="2" t="s">
        <v>2363</v>
      </c>
      <c r="W28" s="2" t="s">
        <v>2364</v>
      </c>
      <c r="X28" s="2" t="s">
        <v>1387</v>
      </c>
      <c r="Y28" s="2" t="s">
        <v>2113</v>
      </c>
      <c r="Z28" s="2" t="s">
        <v>108</v>
      </c>
      <c r="AA28" s="2" t="s">
        <v>632</v>
      </c>
      <c r="AB28" s="3" t="s">
        <v>2365</v>
      </c>
    </row>
  </sheetData>
  <mergeCells count="4">
    <mergeCell ref="A1:J1"/>
    <mergeCell ref="K1:N1"/>
    <mergeCell ref="O1:U1"/>
    <mergeCell ref="V1:AA1"/>
  </mergeCells>
  <conditionalFormatting sqref="A3:AB28">
    <cfRule type="expression" dxfId="3" priority="1">
      <formula>B3="Yes"</formula>
    </cfRule>
  </conditionalFormatting>
  <dataValidations count="2">
    <dataValidation type="list" sqref="B3:B28 Z3:Z28" xr:uid="{00000000-0002-0000-0300-000000000000}">
      <formula1>"Yes,No"</formula1>
    </dataValidation>
    <dataValidation type="list" sqref="Y3:Y28" xr:uid="{00000000-0002-0000-0300-000001000000}">
      <formula1>"Pending,In progress,Complete,Blocked"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workbookViewId="0"/>
  </sheetViews>
  <sheetFormatPr baseColWidth="10" defaultColWidth="8.796875" defaultRowHeight="13.8"/>
  <cols>
    <col min="1" max="1" width="24" customWidth="1"/>
    <col min="2" max="2" width="42" customWidth="1"/>
    <col min="3" max="3" width="46" customWidth="1"/>
    <col min="4" max="4" width="48" customWidth="1"/>
    <col min="5" max="5" width="32" customWidth="1"/>
    <col min="6" max="6" width="18" customWidth="1"/>
  </cols>
  <sheetData>
    <row r="1" spans="1:6" ht="21">
      <c r="A1" s="14" t="s">
        <v>2366</v>
      </c>
      <c r="B1" s="14"/>
      <c r="C1" s="14"/>
      <c r="D1" s="14"/>
      <c r="E1" s="14"/>
      <c r="F1" s="14"/>
    </row>
    <row r="3" spans="1:6">
      <c r="A3" s="1" t="s">
        <v>2367</v>
      </c>
      <c r="B3" s="1" t="s">
        <v>2368</v>
      </c>
      <c r="C3" s="1" t="s">
        <v>2369</v>
      </c>
      <c r="D3" s="1" t="s">
        <v>2370</v>
      </c>
      <c r="E3" s="1" t="s">
        <v>2371</v>
      </c>
      <c r="F3" s="1" t="s">
        <v>2372</v>
      </c>
    </row>
    <row r="4" spans="1:6" ht="27.6">
      <c r="A4" s="5" t="s">
        <v>726</v>
      </c>
      <c r="B4" s="5" t="s">
        <v>726</v>
      </c>
      <c r="C4" s="5" t="s">
        <v>2373</v>
      </c>
      <c r="D4" s="5" t="s">
        <v>2374</v>
      </c>
      <c r="E4" s="5" t="s">
        <v>2375</v>
      </c>
      <c r="F4" s="6" t="s">
        <v>2376</v>
      </c>
    </row>
    <row r="5" spans="1:6" ht="27.6">
      <c r="A5" s="5" t="s">
        <v>867</v>
      </c>
      <c r="B5" s="5" t="s">
        <v>867</v>
      </c>
      <c r="C5" s="5" t="s">
        <v>2377</v>
      </c>
      <c r="D5" s="5" t="s">
        <v>2378</v>
      </c>
      <c r="E5" s="5" t="s">
        <v>2379</v>
      </c>
      <c r="F5" s="6" t="s">
        <v>2376</v>
      </c>
    </row>
    <row r="6" spans="1:6" ht="27.6">
      <c r="A6" s="5" t="s">
        <v>871</v>
      </c>
      <c r="B6" s="5" t="s">
        <v>871</v>
      </c>
      <c r="C6" s="5" t="s">
        <v>2380</v>
      </c>
      <c r="D6" s="5" t="s">
        <v>2381</v>
      </c>
      <c r="E6" s="5" t="s">
        <v>2382</v>
      </c>
      <c r="F6" s="6" t="s">
        <v>2376</v>
      </c>
    </row>
    <row r="7" spans="1:6" ht="27.6">
      <c r="A7" s="5" t="s">
        <v>645</v>
      </c>
      <c r="B7" s="5" t="s">
        <v>2383</v>
      </c>
      <c r="C7" s="5" t="s">
        <v>2384</v>
      </c>
      <c r="D7" s="5" t="s">
        <v>2385</v>
      </c>
      <c r="E7" s="5" t="s">
        <v>2386</v>
      </c>
      <c r="F7" s="6" t="s">
        <v>2376</v>
      </c>
    </row>
    <row r="8" spans="1:6">
      <c r="A8" s="5" t="s">
        <v>2387</v>
      </c>
      <c r="B8" s="5" t="s">
        <v>2388</v>
      </c>
      <c r="C8" s="5" t="s">
        <v>2389</v>
      </c>
      <c r="D8" s="5" t="s">
        <v>2390</v>
      </c>
      <c r="E8" s="5" t="s">
        <v>2391</v>
      </c>
      <c r="F8" s="6" t="s">
        <v>2376</v>
      </c>
    </row>
    <row r="9" spans="1:6" ht="55.2">
      <c r="A9" s="5" t="s">
        <v>680</v>
      </c>
      <c r="B9" s="5" t="s">
        <v>2392</v>
      </c>
      <c r="C9" s="5" t="s">
        <v>2393</v>
      </c>
      <c r="D9" s="5" t="s">
        <v>2394</v>
      </c>
      <c r="E9" s="5" t="s">
        <v>2395</v>
      </c>
      <c r="F9" s="6" t="s">
        <v>97</v>
      </c>
    </row>
    <row r="10" spans="1:6" ht="27.6">
      <c r="A10" s="5" t="s">
        <v>2396</v>
      </c>
      <c r="B10" s="5" t="s">
        <v>2397</v>
      </c>
      <c r="C10" s="5" t="s">
        <v>2398</v>
      </c>
      <c r="D10" s="5" t="s">
        <v>2399</v>
      </c>
      <c r="E10" s="5" t="s">
        <v>2400</v>
      </c>
      <c r="F10" s="6" t="s">
        <v>2376</v>
      </c>
    </row>
    <row r="11" spans="1:6" ht="27.6">
      <c r="A11" s="5" t="s">
        <v>695</v>
      </c>
      <c r="B11" s="5" t="s">
        <v>2401</v>
      </c>
      <c r="C11" s="5" t="s">
        <v>2402</v>
      </c>
      <c r="D11" s="5" t="s">
        <v>2403</v>
      </c>
      <c r="E11" s="5" t="s">
        <v>747</v>
      </c>
      <c r="F11" s="6" t="s">
        <v>2376</v>
      </c>
    </row>
    <row r="12" spans="1:6" ht="27.6">
      <c r="A12" s="5" t="s">
        <v>77</v>
      </c>
      <c r="B12" s="5" t="s">
        <v>2404</v>
      </c>
      <c r="C12" s="5" t="s">
        <v>2405</v>
      </c>
      <c r="D12" s="5" t="s">
        <v>2406</v>
      </c>
      <c r="E12" s="5" t="s">
        <v>97</v>
      </c>
      <c r="F12" s="6" t="s">
        <v>2407</v>
      </c>
    </row>
    <row r="13" spans="1:6">
      <c r="A13" s="5" t="s">
        <v>86</v>
      </c>
      <c r="B13" s="5" t="s">
        <v>2408</v>
      </c>
      <c r="C13" s="5" t="s">
        <v>2409</v>
      </c>
      <c r="D13" s="5" t="s">
        <v>2410</v>
      </c>
      <c r="E13" s="5" t="s">
        <v>88</v>
      </c>
      <c r="F13" s="6" t="s">
        <v>2407</v>
      </c>
    </row>
    <row r="14" spans="1:6" ht="27.6">
      <c r="A14" s="5" t="s">
        <v>682</v>
      </c>
      <c r="B14" s="5" t="s">
        <v>2411</v>
      </c>
      <c r="C14" s="5" t="s">
        <v>2412</v>
      </c>
      <c r="D14" s="5" t="s">
        <v>2413</v>
      </c>
      <c r="E14" s="5" t="s">
        <v>2414</v>
      </c>
      <c r="F14" s="6" t="s">
        <v>97</v>
      </c>
    </row>
    <row r="15" spans="1:6" ht="27.6">
      <c r="A15" s="5" t="s">
        <v>697</v>
      </c>
      <c r="B15" s="5" t="s">
        <v>2415</v>
      </c>
      <c r="C15" s="5" t="s">
        <v>2416</v>
      </c>
      <c r="D15" s="5" t="s">
        <v>2417</v>
      </c>
      <c r="E15" s="5" t="s">
        <v>2418</v>
      </c>
      <c r="F15" s="6" t="s">
        <v>2376</v>
      </c>
    </row>
    <row r="16" spans="1:6">
      <c r="A16" s="2" t="s">
        <v>2419</v>
      </c>
      <c r="B16" s="2" t="s">
        <v>2420</v>
      </c>
      <c r="C16" s="2" t="s">
        <v>2421</v>
      </c>
      <c r="D16" s="2" t="s">
        <v>2422</v>
      </c>
      <c r="E16" s="2" t="s">
        <v>2423</v>
      </c>
      <c r="F16" s="3" t="s">
        <v>2424</v>
      </c>
    </row>
    <row r="17" spans="1:6">
      <c r="A17" t="s">
        <v>2425</v>
      </c>
      <c r="B17" t="s">
        <v>2426</v>
      </c>
      <c r="C17" t="s">
        <v>2427</v>
      </c>
      <c r="D17" t="s">
        <v>2428</v>
      </c>
      <c r="E17" t="s">
        <v>2429</v>
      </c>
      <c r="F17" t="s">
        <v>2376</v>
      </c>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6"/>
  <sheetViews>
    <sheetView tabSelected="1" workbookViewId="0"/>
  </sheetViews>
  <sheetFormatPr baseColWidth="10" defaultColWidth="8.796875" defaultRowHeight="13.8"/>
  <cols>
    <col min="1" max="1" width="8" customWidth="1"/>
    <col min="2" max="2" width="14" customWidth="1"/>
    <col min="3" max="3" width="8" customWidth="1"/>
    <col min="4" max="4" width="22" customWidth="1"/>
    <col min="5" max="5" width="24" customWidth="1"/>
    <col min="6" max="7" width="22" customWidth="1"/>
    <col min="8" max="8" width="24" customWidth="1"/>
    <col min="9" max="9" width="20" customWidth="1"/>
    <col min="10" max="10" width="22" customWidth="1"/>
    <col min="11" max="11" width="26" customWidth="1"/>
    <col min="12" max="13" width="28" customWidth="1"/>
    <col min="14" max="15" width="24" customWidth="1"/>
    <col min="16" max="16" width="32" customWidth="1"/>
    <col min="17" max="17" width="34" customWidth="1"/>
    <col min="18" max="18" width="28" customWidth="1"/>
    <col min="19" max="19" width="42" customWidth="1"/>
  </cols>
  <sheetData>
    <row r="1" spans="1:19" ht="27.6">
      <c r="A1" s="1" t="s">
        <v>76</v>
      </c>
      <c r="B1" s="1" t="s">
        <v>77</v>
      </c>
      <c r="C1" s="1" t="s">
        <v>79</v>
      </c>
      <c r="D1" s="1" t="s">
        <v>2430</v>
      </c>
      <c r="E1" s="1" t="s">
        <v>2431</v>
      </c>
      <c r="F1" s="1" t="s">
        <v>2432</v>
      </c>
      <c r="G1" s="1" t="s">
        <v>2433</v>
      </c>
      <c r="H1" s="1" t="s">
        <v>2434</v>
      </c>
      <c r="I1" s="1" t="s">
        <v>2435</v>
      </c>
      <c r="J1" s="1" t="s">
        <v>2436</v>
      </c>
      <c r="K1" s="1" t="s">
        <v>2437</v>
      </c>
      <c r="L1" s="1" t="s">
        <v>2438</v>
      </c>
      <c r="M1" s="1" t="s">
        <v>2439</v>
      </c>
      <c r="N1" s="1" t="s">
        <v>2440</v>
      </c>
      <c r="O1" s="1" t="s">
        <v>2441</v>
      </c>
      <c r="P1" s="1" t="s">
        <v>2442</v>
      </c>
      <c r="Q1" s="1" t="s">
        <v>2443</v>
      </c>
      <c r="R1" s="1" t="s">
        <v>2444</v>
      </c>
      <c r="S1" s="1" t="s">
        <v>2445</v>
      </c>
    </row>
    <row r="2" spans="1:19" ht="41.4">
      <c r="A2" s="5" t="s">
        <v>96</v>
      </c>
      <c r="B2" s="5" t="s">
        <v>97</v>
      </c>
      <c r="C2" s="5" t="s">
        <v>99</v>
      </c>
      <c r="D2" s="5" t="s">
        <v>2446</v>
      </c>
      <c r="E2" s="5" t="s">
        <v>2446</v>
      </c>
      <c r="F2" s="5" t="s">
        <v>2446</v>
      </c>
      <c r="G2" s="5" t="s">
        <v>2446</v>
      </c>
      <c r="H2" s="5" t="s">
        <v>2446</v>
      </c>
      <c r="I2" s="5" t="s">
        <v>2446</v>
      </c>
      <c r="J2" s="5" t="s">
        <v>2446</v>
      </c>
      <c r="K2" s="5" t="s">
        <v>2447</v>
      </c>
      <c r="L2" s="5" t="s">
        <v>2446</v>
      </c>
      <c r="M2" s="5" t="s">
        <v>2448</v>
      </c>
      <c r="N2" s="5" t="s">
        <v>2446</v>
      </c>
      <c r="O2" s="5" t="s">
        <v>2446</v>
      </c>
      <c r="P2" s="5"/>
      <c r="Q2" s="5" t="s">
        <v>2449</v>
      </c>
      <c r="R2" s="5" t="s">
        <v>2450</v>
      </c>
      <c r="S2" s="6" t="s">
        <v>2451</v>
      </c>
    </row>
    <row r="3" spans="1:19" ht="55.2">
      <c r="A3" s="5" t="s">
        <v>117</v>
      </c>
      <c r="B3" s="5" t="s">
        <v>97</v>
      </c>
      <c r="C3" s="5" t="s">
        <v>108</v>
      </c>
      <c r="D3" s="5" t="s">
        <v>2452</v>
      </c>
      <c r="E3" s="5" t="s">
        <v>2446</v>
      </c>
      <c r="F3" s="5" t="s">
        <v>2446</v>
      </c>
      <c r="G3" s="5" t="s">
        <v>2446</v>
      </c>
      <c r="H3" s="5" t="s">
        <v>2446</v>
      </c>
      <c r="I3" s="5" t="s">
        <v>2446</v>
      </c>
      <c r="J3" s="5" t="s">
        <v>2446</v>
      </c>
      <c r="K3" s="5" t="s">
        <v>2453</v>
      </c>
      <c r="L3" s="5" t="s">
        <v>2454</v>
      </c>
      <c r="M3" s="5" t="s">
        <v>2455</v>
      </c>
      <c r="N3" s="5" t="s">
        <v>2446</v>
      </c>
      <c r="O3" s="5" t="s">
        <v>2446</v>
      </c>
      <c r="P3" s="5"/>
      <c r="Q3" s="5" t="s">
        <v>2449</v>
      </c>
      <c r="R3" s="5" t="s">
        <v>2456</v>
      </c>
      <c r="S3" s="6" t="s">
        <v>2457</v>
      </c>
    </row>
    <row r="4" spans="1:19" ht="55.2">
      <c r="A4" s="5" t="s">
        <v>129</v>
      </c>
      <c r="B4" s="5" t="s">
        <v>97</v>
      </c>
      <c r="C4" s="5" t="s">
        <v>108</v>
      </c>
      <c r="D4" s="5" t="s">
        <v>2458</v>
      </c>
      <c r="E4" s="5" t="s">
        <v>2446</v>
      </c>
      <c r="F4" s="5" t="s">
        <v>2446</v>
      </c>
      <c r="G4" s="5" t="s">
        <v>2446</v>
      </c>
      <c r="H4" s="5" t="s">
        <v>2446</v>
      </c>
      <c r="I4" s="5" t="s">
        <v>2446</v>
      </c>
      <c r="J4" s="5" t="s">
        <v>2446</v>
      </c>
      <c r="K4" s="5" t="s">
        <v>2459</v>
      </c>
      <c r="L4" s="5" t="s">
        <v>2460</v>
      </c>
      <c r="M4" s="5" t="s">
        <v>2461</v>
      </c>
      <c r="N4" s="5" t="s">
        <v>2446</v>
      </c>
      <c r="O4" s="5" t="s">
        <v>2446</v>
      </c>
      <c r="P4" s="5"/>
      <c r="Q4" s="5" t="s">
        <v>2449</v>
      </c>
      <c r="R4" s="5" t="s">
        <v>2462</v>
      </c>
      <c r="S4" s="6" t="s">
        <v>2463</v>
      </c>
    </row>
    <row r="5" spans="1:19" ht="41.4">
      <c r="A5" s="5" t="s">
        <v>138</v>
      </c>
      <c r="B5" s="5" t="s">
        <v>97</v>
      </c>
      <c r="C5" s="5" t="s">
        <v>108</v>
      </c>
      <c r="D5" s="5" t="s">
        <v>2446</v>
      </c>
      <c r="E5" s="5" t="s">
        <v>2446</v>
      </c>
      <c r="F5" s="5" t="s">
        <v>2446</v>
      </c>
      <c r="G5" s="5" t="s">
        <v>2446</v>
      </c>
      <c r="H5" s="5" t="s">
        <v>2446</v>
      </c>
      <c r="I5" s="5" t="s">
        <v>2446</v>
      </c>
      <c r="J5" s="5" t="s">
        <v>2446</v>
      </c>
      <c r="K5" s="5" t="s">
        <v>2446</v>
      </c>
      <c r="L5" s="5" t="s">
        <v>2446</v>
      </c>
      <c r="M5" s="5" t="s">
        <v>2464</v>
      </c>
      <c r="N5" s="5" t="s">
        <v>2446</v>
      </c>
      <c r="O5" s="5" t="s">
        <v>2446</v>
      </c>
      <c r="P5" s="5"/>
      <c r="Q5" s="5" t="s">
        <v>2446</v>
      </c>
      <c r="R5" s="5" t="s">
        <v>2465</v>
      </c>
      <c r="S5" s="6" t="s">
        <v>2466</v>
      </c>
    </row>
    <row r="6" spans="1:19" ht="55.2">
      <c r="A6" s="5" t="s">
        <v>147</v>
      </c>
      <c r="B6" s="5" t="s">
        <v>97</v>
      </c>
      <c r="C6" s="5" t="s">
        <v>108</v>
      </c>
      <c r="D6" s="5" t="s">
        <v>2467</v>
      </c>
      <c r="E6" s="5" t="s">
        <v>2468</v>
      </c>
      <c r="F6" s="5" t="s">
        <v>2468</v>
      </c>
      <c r="G6" s="5" t="s">
        <v>2469</v>
      </c>
      <c r="H6" s="5" t="s">
        <v>2470</v>
      </c>
      <c r="I6" s="5" t="s">
        <v>2471</v>
      </c>
      <c r="J6" s="5" t="s">
        <v>2446</v>
      </c>
      <c r="K6" s="5" t="s">
        <v>2472</v>
      </c>
      <c r="L6" s="5" t="s">
        <v>2473</v>
      </c>
      <c r="M6" s="5" t="s">
        <v>2474</v>
      </c>
      <c r="N6" s="5" t="s">
        <v>2446</v>
      </c>
      <c r="O6" s="5" t="s">
        <v>2475</v>
      </c>
      <c r="P6" s="5" t="s">
        <v>2476</v>
      </c>
      <c r="Q6" s="5" t="s">
        <v>2477</v>
      </c>
      <c r="R6" s="5" t="s">
        <v>2478</v>
      </c>
      <c r="S6" s="6" t="s">
        <v>2479</v>
      </c>
    </row>
    <row r="7" spans="1:19" ht="69">
      <c r="A7" s="5" t="s">
        <v>156</v>
      </c>
      <c r="B7" s="5" t="s">
        <v>97</v>
      </c>
      <c r="C7" s="5" t="s">
        <v>108</v>
      </c>
      <c r="D7" s="5" t="s">
        <v>2480</v>
      </c>
      <c r="E7" s="5" t="s">
        <v>2446</v>
      </c>
      <c r="F7" s="5" t="s">
        <v>2446</v>
      </c>
      <c r="G7" s="5" t="s">
        <v>2446</v>
      </c>
      <c r="H7" s="5" t="s">
        <v>2446</v>
      </c>
      <c r="I7" s="5" t="s">
        <v>2446</v>
      </c>
      <c r="J7" s="5" t="s">
        <v>2446</v>
      </c>
      <c r="K7" s="5" t="s">
        <v>2481</v>
      </c>
      <c r="L7" s="5" t="s">
        <v>2482</v>
      </c>
      <c r="M7" s="5" t="s">
        <v>2483</v>
      </c>
      <c r="N7" s="5" t="s">
        <v>2446</v>
      </c>
      <c r="O7" s="5" t="s">
        <v>2446</v>
      </c>
      <c r="P7" s="5"/>
      <c r="Q7" s="5" t="s">
        <v>2449</v>
      </c>
      <c r="R7" s="5" t="s">
        <v>2484</v>
      </c>
      <c r="S7" s="6" t="s">
        <v>2485</v>
      </c>
    </row>
    <row r="8" spans="1:19" ht="69">
      <c r="A8" s="5" t="s">
        <v>165</v>
      </c>
      <c r="B8" s="5" t="s">
        <v>97</v>
      </c>
      <c r="C8" s="5" t="s">
        <v>108</v>
      </c>
      <c r="D8" s="5" t="s">
        <v>2486</v>
      </c>
      <c r="E8" s="5" t="s">
        <v>2487</v>
      </c>
      <c r="F8" s="5" t="s">
        <v>2487</v>
      </c>
      <c r="G8" s="5" t="s">
        <v>2446</v>
      </c>
      <c r="H8" s="5" t="s">
        <v>2446</v>
      </c>
      <c r="I8" s="5" t="s">
        <v>2488</v>
      </c>
      <c r="J8" s="5" t="s">
        <v>2489</v>
      </c>
      <c r="K8" s="5" t="s">
        <v>2490</v>
      </c>
      <c r="L8" s="5" t="s">
        <v>2491</v>
      </c>
      <c r="M8" s="5" t="s">
        <v>2492</v>
      </c>
      <c r="N8" s="5" t="s">
        <v>2446</v>
      </c>
      <c r="O8" s="5" t="s">
        <v>2493</v>
      </c>
      <c r="P8" s="5" t="s">
        <v>2494</v>
      </c>
      <c r="Q8" s="5" t="s">
        <v>2449</v>
      </c>
      <c r="R8" s="5" t="s">
        <v>2495</v>
      </c>
      <c r="S8" s="6" t="s">
        <v>2496</v>
      </c>
    </row>
    <row r="9" spans="1:19" ht="55.2">
      <c r="A9" s="5" t="s">
        <v>175</v>
      </c>
      <c r="B9" s="5" t="s">
        <v>97</v>
      </c>
      <c r="C9" s="5" t="s">
        <v>108</v>
      </c>
      <c r="D9" s="5" t="s">
        <v>2497</v>
      </c>
      <c r="E9" s="5" t="s">
        <v>2498</v>
      </c>
      <c r="F9" s="5" t="s">
        <v>2498</v>
      </c>
      <c r="G9" s="5" t="s">
        <v>2446</v>
      </c>
      <c r="H9" s="5" t="s">
        <v>2446</v>
      </c>
      <c r="I9" s="5" t="s">
        <v>2499</v>
      </c>
      <c r="J9" s="5" t="s">
        <v>2500</v>
      </c>
      <c r="K9" s="5" t="s">
        <v>2501</v>
      </c>
      <c r="L9" s="5" t="s">
        <v>2502</v>
      </c>
      <c r="M9" s="5" t="s">
        <v>2503</v>
      </c>
      <c r="N9" s="5" t="s">
        <v>2446</v>
      </c>
      <c r="O9" s="5" t="s">
        <v>2493</v>
      </c>
      <c r="P9" s="5" t="s">
        <v>2504</v>
      </c>
      <c r="Q9" s="5" t="s">
        <v>2505</v>
      </c>
      <c r="R9" s="5" t="s">
        <v>2506</v>
      </c>
      <c r="S9" s="6" t="s">
        <v>2507</v>
      </c>
    </row>
    <row r="10" spans="1:19" ht="55.2">
      <c r="A10" s="5" t="s">
        <v>184</v>
      </c>
      <c r="B10" s="5" t="s">
        <v>97</v>
      </c>
      <c r="C10" s="5" t="s">
        <v>99</v>
      </c>
      <c r="D10" s="5" t="s">
        <v>2508</v>
      </c>
      <c r="E10" s="5" t="s">
        <v>2446</v>
      </c>
      <c r="F10" s="5" t="s">
        <v>2446</v>
      </c>
      <c r="G10" s="5" t="s">
        <v>2446</v>
      </c>
      <c r="H10" s="5" t="s">
        <v>2446</v>
      </c>
      <c r="I10" s="5" t="s">
        <v>2446</v>
      </c>
      <c r="J10" s="5" t="s">
        <v>2446</v>
      </c>
      <c r="K10" s="5" t="s">
        <v>2509</v>
      </c>
      <c r="L10" s="5" t="s">
        <v>2510</v>
      </c>
      <c r="M10" s="5" t="s">
        <v>2511</v>
      </c>
      <c r="N10" s="5" t="s">
        <v>2446</v>
      </c>
      <c r="O10" s="5" t="s">
        <v>2446</v>
      </c>
      <c r="P10" s="5"/>
      <c r="Q10" s="5" t="s">
        <v>2449</v>
      </c>
      <c r="R10" s="5" t="s">
        <v>2512</v>
      </c>
      <c r="S10" s="6" t="s">
        <v>2513</v>
      </c>
    </row>
    <row r="11" spans="1:19" ht="41.4">
      <c r="A11" s="5" t="s">
        <v>193</v>
      </c>
      <c r="B11" s="5" t="s">
        <v>97</v>
      </c>
      <c r="C11" s="5" t="s">
        <v>108</v>
      </c>
      <c r="D11" s="5" t="s">
        <v>2514</v>
      </c>
      <c r="E11" s="5" t="s">
        <v>2515</v>
      </c>
      <c r="F11" s="5" t="s">
        <v>2515</v>
      </c>
      <c r="G11" s="5" t="s">
        <v>2515</v>
      </c>
      <c r="H11" s="5" t="s">
        <v>2515</v>
      </c>
      <c r="I11" s="5" t="s">
        <v>2515</v>
      </c>
      <c r="J11" s="5" t="s">
        <v>2515</v>
      </c>
      <c r="K11" s="5" t="s">
        <v>2516</v>
      </c>
      <c r="L11" s="5" t="s">
        <v>2515</v>
      </c>
      <c r="M11" s="5" t="s">
        <v>2517</v>
      </c>
      <c r="N11" s="5" t="s">
        <v>2515</v>
      </c>
      <c r="O11" s="5" t="s">
        <v>2446</v>
      </c>
      <c r="P11" s="5"/>
      <c r="Q11" s="5" t="s">
        <v>2518</v>
      </c>
      <c r="R11" s="5" t="s">
        <v>2519</v>
      </c>
      <c r="S11" s="6" t="s">
        <v>2520</v>
      </c>
    </row>
    <row r="12" spans="1:19" ht="55.2">
      <c r="A12" s="5" t="s">
        <v>203</v>
      </c>
      <c r="B12" s="5" t="s">
        <v>97</v>
      </c>
      <c r="C12" s="5" t="s">
        <v>108</v>
      </c>
      <c r="D12" s="5" t="s">
        <v>2521</v>
      </c>
      <c r="E12" s="5" t="s">
        <v>2446</v>
      </c>
      <c r="F12" s="5" t="s">
        <v>2446</v>
      </c>
      <c r="G12" s="5" t="s">
        <v>2522</v>
      </c>
      <c r="H12" s="5" t="s">
        <v>2523</v>
      </c>
      <c r="I12" s="5" t="s">
        <v>2446</v>
      </c>
      <c r="J12" s="5" t="s">
        <v>2446</v>
      </c>
      <c r="K12" s="5" t="s">
        <v>2524</v>
      </c>
      <c r="L12" s="5" t="s">
        <v>2446</v>
      </c>
      <c r="M12" s="5" t="s">
        <v>2525</v>
      </c>
      <c r="N12" s="5" t="s">
        <v>2446</v>
      </c>
      <c r="O12" s="5" t="s">
        <v>2446</v>
      </c>
      <c r="P12" s="5"/>
      <c r="Q12" s="5" t="s">
        <v>2449</v>
      </c>
      <c r="R12" s="5" t="s">
        <v>2526</v>
      </c>
      <c r="S12" s="6" t="s">
        <v>2527</v>
      </c>
    </row>
    <row r="13" spans="1:19" ht="41.4">
      <c r="A13" s="5" t="s">
        <v>212</v>
      </c>
      <c r="B13" s="5" t="s">
        <v>97</v>
      </c>
      <c r="C13" s="5" t="s">
        <v>108</v>
      </c>
      <c r="D13" s="5" t="s">
        <v>2528</v>
      </c>
      <c r="E13" s="5" t="s">
        <v>2529</v>
      </c>
      <c r="F13" s="5" t="s">
        <v>2529</v>
      </c>
      <c r="G13" s="5" t="s">
        <v>2529</v>
      </c>
      <c r="H13" s="5" t="s">
        <v>2529</v>
      </c>
      <c r="I13" s="5" t="s">
        <v>2529</v>
      </c>
      <c r="J13" s="5" t="s">
        <v>2529</v>
      </c>
      <c r="K13" s="5" t="s">
        <v>2530</v>
      </c>
      <c r="L13" s="5" t="s">
        <v>2531</v>
      </c>
      <c r="M13" s="5" t="s">
        <v>2532</v>
      </c>
      <c r="N13" s="5" t="s">
        <v>2529</v>
      </c>
      <c r="O13" s="5" t="s">
        <v>2529</v>
      </c>
      <c r="P13" s="5"/>
      <c r="Q13" s="5" t="s">
        <v>2533</v>
      </c>
      <c r="R13" s="5" t="s">
        <v>2534</v>
      </c>
      <c r="S13" s="6" t="s">
        <v>2535</v>
      </c>
    </row>
    <row r="14" spans="1:19" ht="41.4">
      <c r="A14" s="5" t="s">
        <v>224</v>
      </c>
      <c r="B14" s="5" t="s">
        <v>97</v>
      </c>
      <c r="C14" s="5" t="s">
        <v>99</v>
      </c>
      <c r="D14" s="5" t="s">
        <v>2536</v>
      </c>
      <c r="E14" s="5" t="s">
        <v>2446</v>
      </c>
      <c r="F14" s="5" t="s">
        <v>2446</v>
      </c>
      <c r="G14" s="5" t="s">
        <v>2446</v>
      </c>
      <c r="H14" s="5" t="s">
        <v>2446</v>
      </c>
      <c r="I14" s="5" t="s">
        <v>2446</v>
      </c>
      <c r="J14" s="5" t="s">
        <v>2537</v>
      </c>
      <c r="K14" s="5" t="s">
        <v>2493</v>
      </c>
      <c r="L14" s="5" t="s">
        <v>2538</v>
      </c>
      <c r="M14" s="5" t="s">
        <v>2539</v>
      </c>
      <c r="N14" s="5" t="s">
        <v>2540</v>
      </c>
      <c r="O14" s="5" t="s">
        <v>2446</v>
      </c>
      <c r="P14" s="5"/>
      <c r="Q14" s="5" t="s">
        <v>2449</v>
      </c>
      <c r="R14" s="5" t="s">
        <v>2541</v>
      </c>
      <c r="S14" s="6" t="s">
        <v>2542</v>
      </c>
    </row>
    <row r="15" spans="1:19" ht="69">
      <c r="A15" s="5" t="s">
        <v>234</v>
      </c>
      <c r="B15" s="5" t="s">
        <v>97</v>
      </c>
      <c r="C15" s="5" t="s">
        <v>108</v>
      </c>
      <c r="D15" s="5" t="s">
        <v>2543</v>
      </c>
      <c r="E15" s="5" t="s">
        <v>2446</v>
      </c>
      <c r="F15" s="5" t="s">
        <v>2446</v>
      </c>
      <c r="G15" s="5" t="s">
        <v>2446</v>
      </c>
      <c r="H15" s="5" t="s">
        <v>2446</v>
      </c>
      <c r="I15" s="5" t="s">
        <v>2446</v>
      </c>
      <c r="J15" s="5" t="s">
        <v>2446</v>
      </c>
      <c r="K15" s="5" t="s">
        <v>2544</v>
      </c>
      <c r="L15" s="5" t="s">
        <v>2545</v>
      </c>
      <c r="M15" s="5" t="s">
        <v>2546</v>
      </c>
      <c r="N15" s="5" t="s">
        <v>2446</v>
      </c>
      <c r="O15" s="5" t="s">
        <v>2446</v>
      </c>
      <c r="P15" s="5"/>
      <c r="Q15" s="5" t="s">
        <v>2449</v>
      </c>
      <c r="R15" s="5" t="s">
        <v>2547</v>
      </c>
      <c r="S15" s="6" t="s">
        <v>2548</v>
      </c>
    </row>
    <row r="16" spans="1:19" ht="55.2">
      <c r="A16" s="5" t="s">
        <v>243</v>
      </c>
      <c r="B16" s="5" t="s">
        <v>97</v>
      </c>
      <c r="C16" s="5" t="s">
        <v>108</v>
      </c>
      <c r="D16" s="5" t="s">
        <v>2549</v>
      </c>
      <c r="E16" s="5" t="s">
        <v>2446</v>
      </c>
      <c r="F16" s="5" t="s">
        <v>2446</v>
      </c>
      <c r="G16" s="5" t="s">
        <v>2446</v>
      </c>
      <c r="H16" s="5" t="s">
        <v>2446</v>
      </c>
      <c r="I16" s="5" t="s">
        <v>2446</v>
      </c>
      <c r="J16" s="5" t="s">
        <v>2446</v>
      </c>
      <c r="K16" s="5" t="s">
        <v>2550</v>
      </c>
      <c r="L16" s="5" t="s">
        <v>2551</v>
      </c>
      <c r="M16" s="5" t="s">
        <v>2552</v>
      </c>
      <c r="N16" s="5" t="s">
        <v>2553</v>
      </c>
      <c r="O16" s="5" t="s">
        <v>2446</v>
      </c>
      <c r="P16" s="5"/>
      <c r="Q16" s="5" t="s">
        <v>2449</v>
      </c>
      <c r="R16" s="5" t="s">
        <v>2554</v>
      </c>
      <c r="S16" s="6" t="s">
        <v>2555</v>
      </c>
    </row>
    <row r="17" spans="1:19" ht="41.4">
      <c r="A17" s="5" t="s">
        <v>251</v>
      </c>
      <c r="B17" s="5" t="s">
        <v>97</v>
      </c>
      <c r="C17" s="5" t="s">
        <v>99</v>
      </c>
      <c r="D17" s="5" t="s">
        <v>2556</v>
      </c>
      <c r="E17" s="5" t="s">
        <v>867</v>
      </c>
      <c r="F17" s="5" t="s">
        <v>867</v>
      </c>
      <c r="G17" s="5" t="s">
        <v>2557</v>
      </c>
      <c r="H17" s="5" t="s">
        <v>2558</v>
      </c>
      <c r="I17" s="5" t="s">
        <v>2559</v>
      </c>
      <c r="J17" s="5" t="s">
        <v>2559</v>
      </c>
      <c r="K17" s="5" t="s">
        <v>2493</v>
      </c>
      <c r="L17" s="5" t="s">
        <v>2560</v>
      </c>
      <c r="M17" s="5" t="s">
        <v>2493</v>
      </c>
      <c r="N17" s="5" t="s">
        <v>2561</v>
      </c>
      <c r="O17" s="5" t="s">
        <v>2446</v>
      </c>
      <c r="P17" s="5"/>
      <c r="Q17" s="5" t="s">
        <v>2449</v>
      </c>
      <c r="R17" s="5" t="s">
        <v>2562</v>
      </c>
      <c r="S17" s="6" t="s">
        <v>2563</v>
      </c>
    </row>
    <row r="18" spans="1:19" ht="55.2">
      <c r="A18" s="5" t="s">
        <v>259</v>
      </c>
      <c r="B18" s="5" t="s">
        <v>97</v>
      </c>
      <c r="C18" s="5" t="s">
        <v>108</v>
      </c>
      <c r="D18" s="5" t="s">
        <v>2446</v>
      </c>
      <c r="E18" s="5" t="s">
        <v>2446</v>
      </c>
      <c r="F18" s="5" t="s">
        <v>2446</v>
      </c>
      <c r="G18" s="5" t="s">
        <v>2446</v>
      </c>
      <c r="H18" s="5" t="s">
        <v>2446</v>
      </c>
      <c r="I18" s="5" t="s">
        <v>2446</v>
      </c>
      <c r="J18" s="5" t="s">
        <v>2446</v>
      </c>
      <c r="K18" s="5" t="s">
        <v>2564</v>
      </c>
      <c r="L18" s="5" t="s">
        <v>2565</v>
      </c>
      <c r="M18" s="5" t="s">
        <v>2566</v>
      </c>
      <c r="N18" s="5" t="s">
        <v>2446</v>
      </c>
      <c r="O18" s="5" t="s">
        <v>2446</v>
      </c>
      <c r="P18" s="5"/>
      <c r="Q18" s="5" t="s">
        <v>2567</v>
      </c>
      <c r="R18" s="5" t="s">
        <v>2568</v>
      </c>
      <c r="S18" s="6" t="s">
        <v>2569</v>
      </c>
    </row>
    <row r="19" spans="1:19" ht="55.2">
      <c r="A19" s="5" t="s">
        <v>270</v>
      </c>
      <c r="B19" s="5" t="s">
        <v>97</v>
      </c>
      <c r="C19" s="5" t="s">
        <v>108</v>
      </c>
      <c r="D19" s="5" t="s">
        <v>2570</v>
      </c>
      <c r="E19" s="5" t="s">
        <v>2446</v>
      </c>
      <c r="F19" s="5" t="s">
        <v>2446</v>
      </c>
      <c r="G19" s="5" t="s">
        <v>2446</v>
      </c>
      <c r="H19" s="5" t="s">
        <v>2446</v>
      </c>
      <c r="I19" s="5" t="s">
        <v>867</v>
      </c>
      <c r="J19" s="5" t="s">
        <v>867</v>
      </c>
      <c r="K19" s="5" t="s">
        <v>2571</v>
      </c>
      <c r="L19" s="5" t="s">
        <v>2572</v>
      </c>
      <c r="M19" s="5" t="s">
        <v>2573</v>
      </c>
      <c r="N19" s="5" t="s">
        <v>2446</v>
      </c>
      <c r="O19" s="5" t="s">
        <v>2446</v>
      </c>
      <c r="P19" s="5"/>
      <c r="Q19" s="5" t="s">
        <v>2449</v>
      </c>
      <c r="R19" s="5" t="s">
        <v>2574</v>
      </c>
      <c r="S19" s="6" t="s">
        <v>2575</v>
      </c>
    </row>
    <row r="20" spans="1:19" ht="41.4">
      <c r="A20" s="5" t="s">
        <v>279</v>
      </c>
      <c r="B20" s="5" t="s">
        <v>97</v>
      </c>
      <c r="C20" s="5" t="s">
        <v>108</v>
      </c>
      <c r="D20" s="5" t="s">
        <v>2576</v>
      </c>
      <c r="E20" s="5" t="s">
        <v>867</v>
      </c>
      <c r="F20" s="5" t="s">
        <v>867</v>
      </c>
      <c r="G20" s="5" t="s">
        <v>867</v>
      </c>
      <c r="H20" s="5" t="s">
        <v>867</v>
      </c>
      <c r="I20" s="5" t="s">
        <v>867</v>
      </c>
      <c r="J20" s="5" t="s">
        <v>867</v>
      </c>
      <c r="K20" s="5" t="s">
        <v>2577</v>
      </c>
      <c r="L20" s="5" t="s">
        <v>2578</v>
      </c>
      <c r="M20" s="5" t="s">
        <v>2577</v>
      </c>
      <c r="N20" s="5" t="s">
        <v>867</v>
      </c>
      <c r="O20" s="5" t="s">
        <v>2446</v>
      </c>
      <c r="P20" s="5"/>
      <c r="Q20" s="5" t="s">
        <v>1548</v>
      </c>
      <c r="R20" s="5" t="s">
        <v>2579</v>
      </c>
      <c r="S20" s="6" t="s">
        <v>2580</v>
      </c>
    </row>
    <row r="21" spans="1:19" ht="55.2">
      <c r="A21" s="5" t="s">
        <v>291</v>
      </c>
      <c r="B21" s="5" t="s">
        <v>97</v>
      </c>
      <c r="C21" s="5" t="s">
        <v>108</v>
      </c>
      <c r="D21" s="5" t="s">
        <v>2446</v>
      </c>
      <c r="E21" s="5" t="s">
        <v>2446</v>
      </c>
      <c r="F21" s="5" t="s">
        <v>2446</v>
      </c>
      <c r="G21" s="5" t="s">
        <v>2446</v>
      </c>
      <c r="H21" s="5" t="s">
        <v>2446</v>
      </c>
      <c r="I21" s="5" t="s">
        <v>2446</v>
      </c>
      <c r="J21" s="5" t="s">
        <v>2446</v>
      </c>
      <c r="K21" s="5" t="s">
        <v>2581</v>
      </c>
      <c r="L21" s="5" t="s">
        <v>2446</v>
      </c>
      <c r="M21" s="5" t="s">
        <v>2582</v>
      </c>
      <c r="N21" s="5" t="s">
        <v>2446</v>
      </c>
      <c r="O21" s="5" t="s">
        <v>2446</v>
      </c>
      <c r="P21" s="5"/>
      <c r="Q21" s="5" t="s">
        <v>2567</v>
      </c>
      <c r="R21" s="5" t="s">
        <v>2526</v>
      </c>
      <c r="S21" s="6" t="s">
        <v>2583</v>
      </c>
    </row>
    <row r="22" spans="1:19" ht="55.2">
      <c r="A22" s="5" t="s">
        <v>299</v>
      </c>
      <c r="B22" s="5" t="s">
        <v>97</v>
      </c>
      <c r="C22" s="5" t="s">
        <v>108</v>
      </c>
      <c r="D22" s="5" t="s">
        <v>2584</v>
      </c>
      <c r="E22" s="5" t="s">
        <v>2585</v>
      </c>
      <c r="F22" s="5" t="s">
        <v>2586</v>
      </c>
      <c r="G22" s="5" t="s">
        <v>2559</v>
      </c>
      <c r="H22" s="5" t="s">
        <v>2559</v>
      </c>
      <c r="I22" s="5" t="s">
        <v>2446</v>
      </c>
      <c r="J22" s="5" t="s">
        <v>2446</v>
      </c>
      <c r="K22" s="5" t="s">
        <v>2587</v>
      </c>
      <c r="L22" s="5" t="s">
        <v>2588</v>
      </c>
      <c r="M22" s="5" t="s">
        <v>2589</v>
      </c>
      <c r="N22" s="5" t="s">
        <v>2559</v>
      </c>
      <c r="O22" s="5" t="s">
        <v>2446</v>
      </c>
      <c r="P22" s="5"/>
      <c r="Q22" s="5" t="s">
        <v>2449</v>
      </c>
      <c r="R22" s="5" t="s">
        <v>2590</v>
      </c>
      <c r="S22" s="6" t="s">
        <v>2591</v>
      </c>
    </row>
    <row r="23" spans="1:19" ht="41.4">
      <c r="A23" s="5" t="s">
        <v>308</v>
      </c>
      <c r="B23" s="5" t="s">
        <v>97</v>
      </c>
      <c r="C23" s="5" t="s">
        <v>108</v>
      </c>
      <c r="D23" s="5" t="s">
        <v>2446</v>
      </c>
      <c r="E23" s="5" t="s">
        <v>2446</v>
      </c>
      <c r="F23" s="5" t="s">
        <v>2446</v>
      </c>
      <c r="G23" s="5" t="s">
        <v>2446</v>
      </c>
      <c r="H23" s="5" t="s">
        <v>2446</v>
      </c>
      <c r="I23" s="5" t="s">
        <v>2446</v>
      </c>
      <c r="J23" s="5" t="s">
        <v>2446</v>
      </c>
      <c r="K23" s="5" t="s">
        <v>2592</v>
      </c>
      <c r="L23" s="5" t="s">
        <v>2446</v>
      </c>
      <c r="M23" s="5" t="s">
        <v>2593</v>
      </c>
      <c r="N23" s="5" t="s">
        <v>2446</v>
      </c>
      <c r="O23" s="5" t="s">
        <v>2446</v>
      </c>
      <c r="P23" s="5"/>
      <c r="Q23" s="5" t="s">
        <v>2567</v>
      </c>
      <c r="R23" s="5" t="s">
        <v>2594</v>
      </c>
      <c r="S23" s="6" t="s">
        <v>2595</v>
      </c>
    </row>
    <row r="24" spans="1:19" ht="55.2">
      <c r="A24" s="5" t="s">
        <v>317</v>
      </c>
      <c r="B24" s="5" t="s">
        <v>97</v>
      </c>
      <c r="C24" s="5" t="s">
        <v>108</v>
      </c>
      <c r="D24" s="5" t="s">
        <v>2596</v>
      </c>
      <c r="E24" s="5" t="s">
        <v>2597</v>
      </c>
      <c r="F24" s="5" t="s">
        <v>2597</v>
      </c>
      <c r="G24" s="5" t="s">
        <v>2598</v>
      </c>
      <c r="H24" s="5" t="s">
        <v>2599</v>
      </c>
      <c r="I24" s="5" t="s">
        <v>2446</v>
      </c>
      <c r="J24" s="5" t="s">
        <v>2446</v>
      </c>
      <c r="K24" s="5" t="s">
        <v>2600</v>
      </c>
      <c r="L24" s="5" t="s">
        <v>2601</v>
      </c>
      <c r="M24" s="5" t="s">
        <v>2602</v>
      </c>
      <c r="N24" s="5" t="s">
        <v>2603</v>
      </c>
      <c r="O24" s="5" t="s">
        <v>2604</v>
      </c>
      <c r="P24" s="5" t="s">
        <v>2605</v>
      </c>
      <c r="Q24" s="5" t="s">
        <v>2505</v>
      </c>
      <c r="R24" s="5" t="s">
        <v>2606</v>
      </c>
      <c r="S24" s="6" t="s">
        <v>2607</v>
      </c>
    </row>
    <row r="25" spans="1:19" ht="41.4">
      <c r="A25" s="5" t="s">
        <v>325</v>
      </c>
      <c r="B25" s="5" t="s">
        <v>97</v>
      </c>
      <c r="C25" s="5" t="s">
        <v>108</v>
      </c>
      <c r="D25" s="5" t="s">
        <v>2608</v>
      </c>
      <c r="E25" s="5" t="s">
        <v>2609</v>
      </c>
      <c r="F25" s="5" t="s">
        <v>2609</v>
      </c>
      <c r="G25" s="5" t="s">
        <v>2559</v>
      </c>
      <c r="H25" s="5" t="s">
        <v>2559</v>
      </c>
      <c r="I25" s="5" t="s">
        <v>867</v>
      </c>
      <c r="J25" s="5" t="s">
        <v>2446</v>
      </c>
      <c r="K25" s="5" t="s">
        <v>2610</v>
      </c>
      <c r="L25" s="5" t="s">
        <v>2611</v>
      </c>
      <c r="M25" s="5" t="s">
        <v>2612</v>
      </c>
      <c r="N25" s="5" t="s">
        <v>2609</v>
      </c>
      <c r="O25" s="5" t="s">
        <v>2446</v>
      </c>
      <c r="P25" s="5"/>
      <c r="Q25" s="5" t="s">
        <v>2449</v>
      </c>
      <c r="R25" s="5" t="s">
        <v>2613</v>
      </c>
      <c r="S25" s="6" t="s">
        <v>2614</v>
      </c>
    </row>
    <row r="26" spans="1:19" ht="41.4">
      <c r="A26" s="5" t="s">
        <v>334</v>
      </c>
      <c r="B26" s="5" t="s">
        <v>97</v>
      </c>
      <c r="C26" s="5" t="s">
        <v>108</v>
      </c>
      <c r="D26" s="5" t="s">
        <v>2615</v>
      </c>
      <c r="E26" s="5" t="s">
        <v>867</v>
      </c>
      <c r="F26" s="5" t="s">
        <v>867</v>
      </c>
      <c r="G26" s="5" t="s">
        <v>867</v>
      </c>
      <c r="H26" s="5" t="s">
        <v>867</v>
      </c>
      <c r="I26" s="5" t="s">
        <v>867</v>
      </c>
      <c r="J26" s="5" t="s">
        <v>867</v>
      </c>
      <c r="K26" s="5" t="s">
        <v>2577</v>
      </c>
      <c r="L26" s="5" t="s">
        <v>2616</v>
      </c>
      <c r="M26" s="5" t="s">
        <v>2577</v>
      </c>
      <c r="N26" s="5" t="s">
        <v>867</v>
      </c>
      <c r="O26" s="5" t="s">
        <v>2446</v>
      </c>
      <c r="P26" s="5"/>
      <c r="Q26" s="5" t="s">
        <v>2617</v>
      </c>
      <c r="R26" s="5" t="s">
        <v>2618</v>
      </c>
      <c r="S26" s="6" t="s">
        <v>2619</v>
      </c>
    </row>
    <row r="27" spans="1:19" ht="69">
      <c r="A27" s="5" t="s">
        <v>345</v>
      </c>
      <c r="B27" s="5" t="s">
        <v>97</v>
      </c>
      <c r="C27" s="5" t="s">
        <v>108</v>
      </c>
      <c r="D27" s="5" t="s">
        <v>2620</v>
      </c>
      <c r="E27" s="5" t="s">
        <v>2621</v>
      </c>
      <c r="F27" s="5" t="s">
        <v>2622</v>
      </c>
      <c r="G27" s="5" t="s">
        <v>2623</v>
      </c>
      <c r="H27" s="5" t="s">
        <v>2624</v>
      </c>
      <c r="I27" s="5" t="s">
        <v>2625</v>
      </c>
      <c r="J27" s="5" t="s">
        <v>2626</v>
      </c>
      <c r="K27" s="5" t="s">
        <v>2627</v>
      </c>
      <c r="L27" s="5" t="s">
        <v>2628</v>
      </c>
      <c r="M27" s="5" t="s">
        <v>2629</v>
      </c>
      <c r="N27" s="5" t="s">
        <v>2446</v>
      </c>
      <c r="O27" s="5" t="s">
        <v>2630</v>
      </c>
      <c r="P27" s="5" t="s">
        <v>2631</v>
      </c>
      <c r="Q27" s="5" t="s">
        <v>2505</v>
      </c>
      <c r="R27" s="5" t="s">
        <v>2632</v>
      </c>
      <c r="S27" s="6" t="s">
        <v>2633</v>
      </c>
    </row>
    <row r="28" spans="1:19" ht="27.6">
      <c r="A28" s="5" t="s">
        <v>353</v>
      </c>
      <c r="B28" s="5" t="s">
        <v>97</v>
      </c>
      <c r="C28" s="5" t="s">
        <v>108</v>
      </c>
      <c r="D28" s="5" t="s">
        <v>2446</v>
      </c>
      <c r="E28" s="5" t="s">
        <v>2446</v>
      </c>
      <c r="F28" s="5" t="s">
        <v>2446</v>
      </c>
      <c r="G28" s="5" t="s">
        <v>2446</v>
      </c>
      <c r="H28" s="5" t="s">
        <v>2446</v>
      </c>
      <c r="I28" s="5" t="s">
        <v>2446</v>
      </c>
      <c r="J28" s="5" t="s">
        <v>2446</v>
      </c>
      <c r="K28" s="5" t="s">
        <v>2634</v>
      </c>
      <c r="L28" s="5" t="s">
        <v>2446</v>
      </c>
      <c r="M28" s="5" t="s">
        <v>2593</v>
      </c>
      <c r="N28" s="5" t="s">
        <v>2446</v>
      </c>
      <c r="O28" s="5" t="s">
        <v>2446</v>
      </c>
      <c r="P28" s="5"/>
      <c r="Q28" s="5" t="s">
        <v>2567</v>
      </c>
      <c r="R28" s="5" t="s">
        <v>2635</v>
      </c>
      <c r="S28" s="6" t="s">
        <v>2636</v>
      </c>
    </row>
    <row r="29" spans="1:19" ht="41.4">
      <c r="A29" s="5" t="s">
        <v>362</v>
      </c>
      <c r="B29" s="5" t="s">
        <v>97</v>
      </c>
      <c r="C29" s="5" t="s">
        <v>99</v>
      </c>
      <c r="D29" s="5" t="s">
        <v>2559</v>
      </c>
      <c r="E29" s="5" t="s">
        <v>2446</v>
      </c>
      <c r="F29" s="5" t="s">
        <v>2446</v>
      </c>
      <c r="G29" s="5" t="s">
        <v>2446</v>
      </c>
      <c r="H29" s="5" t="s">
        <v>2446</v>
      </c>
      <c r="I29" s="5" t="s">
        <v>2446</v>
      </c>
      <c r="J29" s="5" t="s">
        <v>2446</v>
      </c>
      <c r="K29" s="5" t="s">
        <v>2637</v>
      </c>
      <c r="L29" s="5" t="s">
        <v>2446</v>
      </c>
      <c r="M29" s="5" t="s">
        <v>2638</v>
      </c>
      <c r="N29" s="5" t="s">
        <v>2446</v>
      </c>
      <c r="O29" s="5" t="s">
        <v>2639</v>
      </c>
      <c r="P29" s="5"/>
      <c r="Q29" s="5" t="s">
        <v>2449</v>
      </c>
      <c r="R29" s="5" t="s">
        <v>2640</v>
      </c>
      <c r="S29" s="6" t="s">
        <v>2641</v>
      </c>
    </row>
    <row r="30" spans="1:19" ht="69">
      <c r="A30" s="5" t="s">
        <v>371</v>
      </c>
      <c r="B30" s="5" t="s">
        <v>97</v>
      </c>
      <c r="C30" s="5" t="s">
        <v>108</v>
      </c>
      <c r="D30" s="5" t="s">
        <v>2642</v>
      </c>
      <c r="E30" s="5" t="s">
        <v>2446</v>
      </c>
      <c r="F30" s="5" t="s">
        <v>2446</v>
      </c>
      <c r="G30" s="5" t="s">
        <v>2643</v>
      </c>
      <c r="H30" s="5" t="s">
        <v>2559</v>
      </c>
      <c r="I30" s="5" t="s">
        <v>867</v>
      </c>
      <c r="J30" s="5" t="s">
        <v>2644</v>
      </c>
      <c r="K30" s="5" t="s">
        <v>2645</v>
      </c>
      <c r="L30" s="5" t="s">
        <v>2646</v>
      </c>
      <c r="M30" s="5" t="s">
        <v>2647</v>
      </c>
      <c r="N30" s="5" t="s">
        <v>2446</v>
      </c>
      <c r="O30" s="5" t="s">
        <v>2446</v>
      </c>
      <c r="P30" s="5"/>
      <c r="Q30" s="5" t="s">
        <v>2449</v>
      </c>
      <c r="R30" s="5" t="s">
        <v>2648</v>
      </c>
      <c r="S30" s="6" t="s">
        <v>2649</v>
      </c>
    </row>
    <row r="31" spans="1:19" ht="55.2">
      <c r="A31" s="5" t="s">
        <v>379</v>
      </c>
      <c r="B31" s="5" t="s">
        <v>380</v>
      </c>
      <c r="C31" s="5" t="s">
        <v>108</v>
      </c>
      <c r="D31" s="5" t="s">
        <v>2650</v>
      </c>
      <c r="E31" s="5" t="s">
        <v>2446</v>
      </c>
      <c r="F31" s="5" t="s">
        <v>2446</v>
      </c>
      <c r="G31" s="5" t="s">
        <v>2651</v>
      </c>
      <c r="H31" s="5" t="s">
        <v>2652</v>
      </c>
      <c r="I31" s="5" t="s">
        <v>2446</v>
      </c>
      <c r="J31" s="5" t="s">
        <v>2653</v>
      </c>
      <c r="K31" s="5" t="s">
        <v>2654</v>
      </c>
      <c r="L31" s="5" t="s">
        <v>2655</v>
      </c>
      <c r="M31" s="5" t="s">
        <v>2656</v>
      </c>
      <c r="N31" s="5" t="s">
        <v>2446</v>
      </c>
      <c r="O31" s="5" t="s">
        <v>2446</v>
      </c>
      <c r="P31" s="5"/>
      <c r="Q31" s="5" t="s">
        <v>2449</v>
      </c>
      <c r="R31" s="5" t="s">
        <v>2657</v>
      </c>
      <c r="S31" s="6" t="s">
        <v>2658</v>
      </c>
    </row>
    <row r="32" spans="1:19" ht="55.2">
      <c r="A32" s="5" t="s">
        <v>394</v>
      </c>
      <c r="B32" s="5" t="s">
        <v>380</v>
      </c>
      <c r="C32" s="5" t="s">
        <v>108</v>
      </c>
      <c r="D32" s="5" t="s">
        <v>2659</v>
      </c>
      <c r="E32" s="5" t="s">
        <v>2660</v>
      </c>
      <c r="F32" s="5" t="s">
        <v>2661</v>
      </c>
      <c r="G32" s="5" t="s">
        <v>2662</v>
      </c>
      <c r="H32" s="5" t="s">
        <v>2663</v>
      </c>
      <c r="I32" s="5" t="s">
        <v>2664</v>
      </c>
      <c r="J32" s="5" t="s">
        <v>2665</v>
      </c>
      <c r="K32" s="5" t="s">
        <v>2666</v>
      </c>
      <c r="L32" s="5" t="s">
        <v>2667</v>
      </c>
      <c r="M32" s="5" t="s">
        <v>2668</v>
      </c>
      <c r="N32" s="5" t="s">
        <v>2446</v>
      </c>
      <c r="O32" s="5" t="s">
        <v>2630</v>
      </c>
      <c r="P32" s="5" t="s">
        <v>2669</v>
      </c>
      <c r="Q32" s="5" t="s">
        <v>2505</v>
      </c>
      <c r="R32" s="5" t="s">
        <v>2670</v>
      </c>
      <c r="S32" s="6" t="s">
        <v>2671</v>
      </c>
    </row>
    <row r="33" spans="1:19" ht="55.2">
      <c r="A33" s="5" t="s">
        <v>404</v>
      </c>
      <c r="B33" s="5" t="s">
        <v>380</v>
      </c>
      <c r="C33" s="5" t="s">
        <v>108</v>
      </c>
      <c r="D33" s="5" t="s">
        <v>2672</v>
      </c>
      <c r="E33" s="5" t="s">
        <v>2673</v>
      </c>
      <c r="F33" s="5" t="s">
        <v>2674</v>
      </c>
      <c r="G33" s="5" t="s">
        <v>2675</v>
      </c>
      <c r="H33" s="5" t="s">
        <v>2676</v>
      </c>
      <c r="I33" s="5" t="s">
        <v>2664</v>
      </c>
      <c r="J33" s="5" t="s">
        <v>2677</v>
      </c>
      <c r="K33" s="5" t="s">
        <v>2678</v>
      </c>
      <c r="L33" s="5" t="s">
        <v>2679</v>
      </c>
      <c r="M33" s="5" t="s">
        <v>2680</v>
      </c>
      <c r="N33" s="5" t="s">
        <v>2446</v>
      </c>
      <c r="O33" s="5" t="s">
        <v>2630</v>
      </c>
      <c r="P33" s="5" t="s">
        <v>2681</v>
      </c>
      <c r="Q33" s="5" t="s">
        <v>2505</v>
      </c>
      <c r="R33" s="5" t="s">
        <v>2682</v>
      </c>
      <c r="S33" s="6" t="s">
        <v>2683</v>
      </c>
    </row>
    <row r="34" spans="1:19" ht="55.2">
      <c r="A34" s="5" t="s">
        <v>412</v>
      </c>
      <c r="B34" s="5" t="s">
        <v>380</v>
      </c>
      <c r="C34" s="5" t="s">
        <v>108</v>
      </c>
      <c r="D34" s="5" t="s">
        <v>2684</v>
      </c>
      <c r="E34" s="5" t="s">
        <v>867</v>
      </c>
      <c r="F34" s="5" t="s">
        <v>867</v>
      </c>
      <c r="G34" s="5" t="s">
        <v>867</v>
      </c>
      <c r="H34" s="5" t="s">
        <v>867</v>
      </c>
      <c r="I34" s="5" t="s">
        <v>867</v>
      </c>
      <c r="J34" s="5" t="s">
        <v>867</v>
      </c>
      <c r="K34" s="5" t="s">
        <v>2577</v>
      </c>
      <c r="L34" s="5" t="s">
        <v>2685</v>
      </c>
      <c r="M34" s="5" t="s">
        <v>2686</v>
      </c>
      <c r="N34" s="5" t="s">
        <v>2687</v>
      </c>
      <c r="O34" s="5" t="s">
        <v>2688</v>
      </c>
      <c r="P34" s="5" t="s">
        <v>2689</v>
      </c>
      <c r="Q34" s="5" t="s">
        <v>2690</v>
      </c>
      <c r="R34" s="5" t="s">
        <v>2691</v>
      </c>
      <c r="S34" s="6" t="s">
        <v>2692</v>
      </c>
    </row>
    <row r="35" spans="1:19" ht="55.2">
      <c r="A35" s="5" t="s">
        <v>424</v>
      </c>
      <c r="B35" s="5" t="s">
        <v>380</v>
      </c>
      <c r="C35" s="5" t="s">
        <v>108</v>
      </c>
      <c r="D35" s="5" t="s">
        <v>2693</v>
      </c>
      <c r="E35" s="5" t="s">
        <v>2559</v>
      </c>
      <c r="F35" s="5" t="s">
        <v>2559</v>
      </c>
      <c r="G35" s="5" t="s">
        <v>2559</v>
      </c>
      <c r="H35" s="5" t="s">
        <v>2559</v>
      </c>
      <c r="I35" s="5" t="s">
        <v>2559</v>
      </c>
      <c r="J35" s="5" t="s">
        <v>2559</v>
      </c>
      <c r="K35" s="5" t="s">
        <v>2694</v>
      </c>
      <c r="L35" s="5" t="s">
        <v>2695</v>
      </c>
      <c r="M35" s="5" t="s">
        <v>2696</v>
      </c>
      <c r="N35" s="5" t="s">
        <v>2697</v>
      </c>
      <c r="O35" s="5" t="s">
        <v>2446</v>
      </c>
      <c r="P35" s="5"/>
      <c r="Q35" s="5" t="s">
        <v>2449</v>
      </c>
      <c r="R35" s="5" t="s">
        <v>2698</v>
      </c>
      <c r="S35" s="6" t="s">
        <v>2699</v>
      </c>
    </row>
    <row r="36" spans="1:19" ht="55.2">
      <c r="A36" s="5" t="s">
        <v>434</v>
      </c>
      <c r="B36" s="5" t="s">
        <v>380</v>
      </c>
      <c r="C36" s="5" t="s">
        <v>108</v>
      </c>
      <c r="D36" s="5" t="s">
        <v>2700</v>
      </c>
      <c r="E36" s="5" t="s">
        <v>867</v>
      </c>
      <c r="F36" s="5" t="s">
        <v>867</v>
      </c>
      <c r="G36" s="5" t="s">
        <v>867</v>
      </c>
      <c r="H36" s="5" t="s">
        <v>867</v>
      </c>
      <c r="I36" s="5" t="s">
        <v>867</v>
      </c>
      <c r="J36" s="5" t="s">
        <v>867</v>
      </c>
      <c r="K36" s="5" t="s">
        <v>2577</v>
      </c>
      <c r="L36" s="5" t="s">
        <v>2701</v>
      </c>
      <c r="M36" s="5" t="s">
        <v>2702</v>
      </c>
      <c r="N36" s="5" t="s">
        <v>2703</v>
      </c>
      <c r="O36" s="5" t="s">
        <v>2446</v>
      </c>
      <c r="P36" s="5"/>
      <c r="Q36" s="5" t="s">
        <v>2704</v>
      </c>
      <c r="R36" s="5" t="s">
        <v>2705</v>
      </c>
      <c r="S36" s="6" t="s">
        <v>2706</v>
      </c>
    </row>
    <row r="37" spans="1:19" ht="55.2">
      <c r="A37" s="5" t="s">
        <v>442</v>
      </c>
      <c r="B37" s="5" t="s">
        <v>380</v>
      </c>
      <c r="C37" s="5" t="s">
        <v>108</v>
      </c>
      <c r="D37" s="5" t="s">
        <v>2707</v>
      </c>
      <c r="E37" s="5" t="s">
        <v>2708</v>
      </c>
      <c r="F37" s="5" t="s">
        <v>2709</v>
      </c>
      <c r="G37" s="5" t="s">
        <v>2709</v>
      </c>
      <c r="H37" s="5" t="s">
        <v>2710</v>
      </c>
      <c r="I37" s="5" t="s">
        <v>2711</v>
      </c>
      <c r="J37" s="5" t="s">
        <v>2712</v>
      </c>
      <c r="K37" s="5" t="s">
        <v>2713</v>
      </c>
      <c r="L37" s="5" t="s">
        <v>2714</v>
      </c>
      <c r="M37" s="5" t="s">
        <v>2715</v>
      </c>
      <c r="N37" s="5" t="s">
        <v>2446</v>
      </c>
      <c r="O37" s="5" t="s">
        <v>2630</v>
      </c>
      <c r="P37" s="5" t="s">
        <v>2716</v>
      </c>
      <c r="Q37" s="5" t="s">
        <v>2505</v>
      </c>
      <c r="R37" s="5" t="s">
        <v>2717</v>
      </c>
      <c r="S37" s="6" t="s">
        <v>2718</v>
      </c>
    </row>
    <row r="38" spans="1:19" ht="55.2">
      <c r="A38" s="5" t="s">
        <v>452</v>
      </c>
      <c r="B38" s="5" t="s">
        <v>380</v>
      </c>
      <c r="C38" s="5" t="s">
        <v>108</v>
      </c>
      <c r="D38" s="5" t="s">
        <v>2719</v>
      </c>
      <c r="E38" s="5" t="s">
        <v>2446</v>
      </c>
      <c r="F38" s="5" t="s">
        <v>2446</v>
      </c>
      <c r="G38" s="5" t="s">
        <v>2720</v>
      </c>
      <c r="H38" s="5" t="s">
        <v>867</v>
      </c>
      <c r="I38" s="5" t="s">
        <v>2446</v>
      </c>
      <c r="J38" s="5" t="s">
        <v>2446</v>
      </c>
      <c r="K38" s="5" t="s">
        <v>2721</v>
      </c>
      <c r="L38" s="5" t="s">
        <v>2446</v>
      </c>
      <c r="M38" s="5" t="s">
        <v>2722</v>
      </c>
      <c r="N38" s="5" t="s">
        <v>2446</v>
      </c>
      <c r="O38" s="5" t="s">
        <v>2446</v>
      </c>
      <c r="P38" s="5"/>
      <c r="Q38" s="5" t="s">
        <v>2723</v>
      </c>
      <c r="R38" s="5" t="s">
        <v>2724</v>
      </c>
      <c r="S38" s="6" t="s">
        <v>2725</v>
      </c>
    </row>
    <row r="39" spans="1:19" ht="55.2">
      <c r="A39" s="5" t="s">
        <v>461</v>
      </c>
      <c r="B39" s="5" t="s">
        <v>380</v>
      </c>
      <c r="C39" s="5" t="s">
        <v>108</v>
      </c>
      <c r="D39" s="5" t="s">
        <v>2726</v>
      </c>
      <c r="E39" s="5" t="s">
        <v>2727</v>
      </c>
      <c r="F39" s="5" t="s">
        <v>2728</v>
      </c>
      <c r="G39" s="5" t="s">
        <v>2729</v>
      </c>
      <c r="H39" s="5" t="s">
        <v>2730</v>
      </c>
      <c r="I39" s="5" t="s">
        <v>867</v>
      </c>
      <c r="J39" s="5" t="s">
        <v>867</v>
      </c>
      <c r="K39" s="5" t="s">
        <v>2731</v>
      </c>
      <c r="L39" s="5" t="s">
        <v>2732</v>
      </c>
      <c r="M39" s="5" t="s">
        <v>2733</v>
      </c>
      <c r="N39" s="5" t="s">
        <v>2729</v>
      </c>
      <c r="O39" s="5" t="s">
        <v>2630</v>
      </c>
      <c r="P39" s="5" t="s">
        <v>2734</v>
      </c>
      <c r="Q39" s="5" t="s">
        <v>2505</v>
      </c>
      <c r="R39" s="5" t="s">
        <v>2735</v>
      </c>
      <c r="S39" s="6" t="s">
        <v>2736</v>
      </c>
    </row>
    <row r="40" spans="1:19" ht="55.2">
      <c r="A40" s="5" t="s">
        <v>471</v>
      </c>
      <c r="B40" s="5" t="s">
        <v>380</v>
      </c>
      <c r="C40" s="5" t="s">
        <v>108</v>
      </c>
      <c r="D40" s="5" t="s">
        <v>2737</v>
      </c>
      <c r="E40" s="5" t="s">
        <v>2738</v>
      </c>
      <c r="F40" s="5" t="s">
        <v>2739</v>
      </c>
      <c r="G40" s="5" t="s">
        <v>2740</v>
      </c>
      <c r="H40" s="5" t="s">
        <v>2741</v>
      </c>
      <c r="I40" s="5" t="s">
        <v>867</v>
      </c>
      <c r="J40" s="5" t="s">
        <v>2742</v>
      </c>
      <c r="K40" s="5" t="s">
        <v>2743</v>
      </c>
      <c r="L40" s="5" t="s">
        <v>2744</v>
      </c>
      <c r="M40" s="5" t="s">
        <v>2745</v>
      </c>
      <c r="N40" s="5" t="s">
        <v>2746</v>
      </c>
      <c r="O40" s="5" t="s">
        <v>2747</v>
      </c>
      <c r="P40" s="5" t="s">
        <v>2748</v>
      </c>
      <c r="Q40" s="5" t="s">
        <v>2505</v>
      </c>
      <c r="R40" s="5" t="s">
        <v>2749</v>
      </c>
      <c r="S40" s="6" t="s">
        <v>2750</v>
      </c>
    </row>
    <row r="41" spans="1:19" ht="55.2">
      <c r="A41" s="5" t="s">
        <v>481</v>
      </c>
      <c r="B41" s="5" t="s">
        <v>380</v>
      </c>
      <c r="C41" s="5" t="s">
        <v>108</v>
      </c>
      <c r="D41" s="5" t="s">
        <v>2751</v>
      </c>
      <c r="E41" s="5" t="s">
        <v>2752</v>
      </c>
      <c r="F41" s="5" t="s">
        <v>2752</v>
      </c>
      <c r="G41" s="5" t="s">
        <v>2729</v>
      </c>
      <c r="H41" s="5" t="s">
        <v>2729</v>
      </c>
      <c r="I41" s="5" t="s">
        <v>2446</v>
      </c>
      <c r="J41" s="5" t="s">
        <v>2753</v>
      </c>
      <c r="K41" s="5" t="s">
        <v>2754</v>
      </c>
      <c r="L41" s="5" t="s">
        <v>2755</v>
      </c>
      <c r="M41" s="5" t="s">
        <v>2756</v>
      </c>
      <c r="N41" s="5" t="s">
        <v>2446</v>
      </c>
      <c r="O41" s="5" t="s">
        <v>2630</v>
      </c>
      <c r="P41" s="5" t="s">
        <v>2757</v>
      </c>
      <c r="Q41" s="5" t="s">
        <v>2505</v>
      </c>
      <c r="R41" s="5" t="s">
        <v>2758</v>
      </c>
      <c r="S41" s="6" t="s">
        <v>2759</v>
      </c>
    </row>
    <row r="42" spans="1:19" ht="55.2">
      <c r="A42" s="5" t="s">
        <v>491</v>
      </c>
      <c r="B42" s="5" t="s">
        <v>380</v>
      </c>
      <c r="C42" s="5" t="s">
        <v>108</v>
      </c>
      <c r="D42" s="5" t="s">
        <v>2760</v>
      </c>
      <c r="E42" s="5" t="s">
        <v>2761</v>
      </c>
      <c r="F42" s="5" t="s">
        <v>2709</v>
      </c>
      <c r="G42" s="5" t="s">
        <v>2729</v>
      </c>
      <c r="H42" s="5" t="s">
        <v>2729</v>
      </c>
      <c r="I42" s="5" t="s">
        <v>2762</v>
      </c>
      <c r="J42" s="5" t="s">
        <v>2763</v>
      </c>
      <c r="K42" s="5" t="s">
        <v>2764</v>
      </c>
      <c r="L42" s="5" t="s">
        <v>2765</v>
      </c>
      <c r="M42" s="5" t="s">
        <v>2766</v>
      </c>
      <c r="N42" s="5" t="s">
        <v>2446</v>
      </c>
      <c r="O42" s="5" t="s">
        <v>2630</v>
      </c>
      <c r="P42" s="5" t="s">
        <v>2767</v>
      </c>
      <c r="Q42" s="5" t="s">
        <v>2505</v>
      </c>
      <c r="R42" s="5" t="s">
        <v>2456</v>
      </c>
      <c r="S42" s="6" t="s">
        <v>2768</v>
      </c>
    </row>
    <row r="43" spans="1:19" ht="55.2">
      <c r="A43" s="5" t="s">
        <v>500</v>
      </c>
      <c r="B43" s="5" t="s">
        <v>380</v>
      </c>
      <c r="C43" s="5" t="s">
        <v>108</v>
      </c>
      <c r="D43" s="5" t="s">
        <v>2769</v>
      </c>
      <c r="E43" s="5" t="s">
        <v>2559</v>
      </c>
      <c r="F43" s="5" t="s">
        <v>2559</v>
      </c>
      <c r="G43" s="5" t="s">
        <v>2559</v>
      </c>
      <c r="H43" s="5" t="s">
        <v>2559</v>
      </c>
      <c r="I43" s="5" t="s">
        <v>2559</v>
      </c>
      <c r="J43" s="5" t="s">
        <v>2770</v>
      </c>
      <c r="K43" s="5" t="s">
        <v>2771</v>
      </c>
      <c r="L43" s="5" t="s">
        <v>2772</v>
      </c>
      <c r="M43" s="5" t="s">
        <v>2773</v>
      </c>
      <c r="N43" s="5" t="s">
        <v>2446</v>
      </c>
      <c r="O43" s="5" t="s">
        <v>2446</v>
      </c>
      <c r="P43" s="5"/>
      <c r="Q43" s="5" t="s">
        <v>2723</v>
      </c>
      <c r="R43" s="5" t="s">
        <v>2774</v>
      </c>
      <c r="S43" s="6" t="s">
        <v>2775</v>
      </c>
    </row>
    <row r="44" spans="1:19" ht="41.4">
      <c r="A44" s="5" t="s">
        <v>509</v>
      </c>
      <c r="B44" s="5" t="s">
        <v>380</v>
      </c>
      <c r="C44" s="5" t="s">
        <v>99</v>
      </c>
      <c r="D44" s="5" t="s">
        <v>2776</v>
      </c>
      <c r="E44" s="5" t="s">
        <v>867</v>
      </c>
      <c r="F44" s="5" t="s">
        <v>2446</v>
      </c>
      <c r="G44" s="5" t="s">
        <v>2446</v>
      </c>
      <c r="H44" s="5" t="s">
        <v>2446</v>
      </c>
      <c r="I44" s="5" t="s">
        <v>2446</v>
      </c>
      <c r="J44" s="5" t="s">
        <v>2777</v>
      </c>
      <c r="K44" s="5" t="s">
        <v>2493</v>
      </c>
      <c r="L44" s="5" t="s">
        <v>2449</v>
      </c>
      <c r="M44" s="5" t="s">
        <v>2778</v>
      </c>
      <c r="N44" s="5" t="s">
        <v>2446</v>
      </c>
      <c r="O44" s="5" t="s">
        <v>2446</v>
      </c>
      <c r="P44" s="5"/>
      <c r="Q44" s="5" t="s">
        <v>2449</v>
      </c>
      <c r="R44" s="5" t="s">
        <v>2526</v>
      </c>
      <c r="S44" s="6" t="s">
        <v>2779</v>
      </c>
    </row>
    <row r="45" spans="1:19" ht="55.2">
      <c r="A45" s="5" t="s">
        <v>518</v>
      </c>
      <c r="B45" s="5" t="s">
        <v>380</v>
      </c>
      <c r="C45" s="5" t="s">
        <v>108</v>
      </c>
      <c r="D45" s="5" t="s">
        <v>2780</v>
      </c>
      <c r="E45" s="5" t="s">
        <v>867</v>
      </c>
      <c r="F45" s="5" t="s">
        <v>867</v>
      </c>
      <c r="G45" s="5" t="s">
        <v>867</v>
      </c>
      <c r="H45" s="5" t="s">
        <v>867</v>
      </c>
      <c r="I45" s="5" t="s">
        <v>867</v>
      </c>
      <c r="J45" s="5" t="s">
        <v>867</v>
      </c>
      <c r="K45" s="5" t="s">
        <v>2781</v>
      </c>
      <c r="L45" s="5" t="s">
        <v>2446</v>
      </c>
      <c r="M45" s="5" t="s">
        <v>2782</v>
      </c>
      <c r="N45" s="5" t="s">
        <v>2446</v>
      </c>
      <c r="O45" s="5" t="s">
        <v>2446</v>
      </c>
      <c r="P45" s="5"/>
      <c r="Q45" s="5" t="s">
        <v>2783</v>
      </c>
      <c r="R45" s="5" t="s">
        <v>2784</v>
      </c>
      <c r="S45" s="6" t="s">
        <v>2785</v>
      </c>
    </row>
    <row r="46" spans="1:19" ht="55.2">
      <c r="A46" s="5" t="s">
        <v>528</v>
      </c>
      <c r="B46" s="5" t="s">
        <v>380</v>
      </c>
      <c r="C46" s="5" t="s">
        <v>99</v>
      </c>
      <c r="D46" s="5" t="s">
        <v>2786</v>
      </c>
      <c r="E46" s="5" t="s">
        <v>2787</v>
      </c>
      <c r="F46" s="5" t="s">
        <v>2788</v>
      </c>
      <c r="G46" s="5" t="s">
        <v>2789</v>
      </c>
      <c r="H46" s="5" t="s">
        <v>2790</v>
      </c>
      <c r="I46" s="5" t="s">
        <v>2791</v>
      </c>
      <c r="J46" s="5" t="s">
        <v>2493</v>
      </c>
      <c r="K46" s="5" t="s">
        <v>2493</v>
      </c>
      <c r="L46" s="5" t="s">
        <v>2792</v>
      </c>
      <c r="M46" s="5" t="s">
        <v>2493</v>
      </c>
      <c r="N46" s="5" t="s">
        <v>2446</v>
      </c>
      <c r="O46" s="5" t="s">
        <v>2493</v>
      </c>
      <c r="P46" s="5" t="s">
        <v>2793</v>
      </c>
      <c r="Q46" s="5" t="s">
        <v>2794</v>
      </c>
      <c r="R46" s="5" t="s">
        <v>2526</v>
      </c>
      <c r="S46" s="6" t="s">
        <v>2795</v>
      </c>
    </row>
    <row r="47" spans="1:19" ht="55.2">
      <c r="A47" s="5" t="s">
        <v>537</v>
      </c>
      <c r="B47" s="5" t="s">
        <v>380</v>
      </c>
      <c r="C47" s="5" t="s">
        <v>108</v>
      </c>
      <c r="D47" s="5" t="s">
        <v>2796</v>
      </c>
      <c r="E47" s="5" t="s">
        <v>2446</v>
      </c>
      <c r="F47" s="5" t="s">
        <v>2446</v>
      </c>
      <c r="G47" s="5" t="s">
        <v>2446</v>
      </c>
      <c r="H47" s="5" t="s">
        <v>2446</v>
      </c>
      <c r="I47" s="5" t="s">
        <v>2703</v>
      </c>
      <c r="J47" s="5" t="s">
        <v>2446</v>
      </c>
      <c r="K47" s="5" t="s">
        <v>2797</v>
      </c>
      <c r="L47" s="5" t="s">
        <v>2798</v>
      </c>
      <c r="M47" s="5" t="s">
        <v>2799</v>
      </c>
      <c r="N47" s="5" t="s">
        <v>2446</v>
      </c>
      <c r="O47" s="5" t="s">
        <v>2446</v>
      </c>
      <c r="P47" s="5"/>
      <c r="Q47" s="5" t="s">
        <v>2449</v>
      </c>
      <c r="R47" s="5" t="s">
        <v>2800</v>
      </c>
      <c r="S47" s="6" t="s">
        <v>2801</v>
      </c>
    </row>
    <row r="48" spans="1:19" ht="41.4">
      <c r="A48" s="5" t="s">
        <v>548</v>
      </c>
      <c r="B48" s="5" t="s">
        <v>380</v>
      </c>
      <c r="C48" s="5" t="s">
        <v>99</v>
      </c>
      <c r="D48" s="5" t="s">
        <v>2802</v>
      </c>
      <c r="E48" s="5" t="s">
        <v>2446</v>
      </c>
      <c r="F48" s="5" t="s">
        <v>2803</v>
      </c>
      <c r="G48" s="5" t="s">
        <v>2803</v>
      </c>
      <c r="H48" s="5" t="s">
        <v>2804</v>
      </c>
      <c r="I48" s="5" t="s">
        <v>2559</v>
      </c>
      <c r="J48" s="5" t="s">
        <v>2559</v>
      </c>
      <c r="K48" s="5" t="s">
        <v>2493</v>
      </c>
      <c r="L48" s="5" t="s">
        <v>2446</v>
      </c>
      <c r="M48" s="5" t="s">
        <v>2805</v>
      </c>
      <c r="N48" s="5" t="s">
        <v>2540</v>
      </c>
      <c r="O48" s="5" t="s">
        <v>2446</v>
      </c>
      <c r="P48" s="5"/>
      <c r="Q48" s="5" t="s">
        <v>2806</v>
      </c>
      <c r="R48" s="5" t="s">
        <v>2807</v>
      </c>
      <c r="S48" s="6" t="s">
        <v>2808</v>
      </c>
    </row>
    <row r="49" spans="1:19" ht="69">
      <c r="A49" s="5" t="s">
        <v>556</v>
      </c>
      <c r="B49" s="5" t="s">
        <v>380</v>
      </c>
      <c r="C49" s="5" t="s">
        <v>108</v>
      </c>
      <c r="D49" s="5" t="s">
        <v>2809</v>
      </c>
      <c r="E49" s="5" t="s">
        <v>2446</v>
      </c>
      <c r="F49" s="5" t="s">
        <v>2810</v>
      </c>
      <c r="G49" s="5" t="s">
        <v>2811</v>
      </c>
      <c r="H49" s="5" t="s">
        <v>2812</v>
      </c>
      <c r="I49" s="5" t="s">
        <v>2813</v>
      </c>
      <c r="J49" s="5" t="s">
        <v>2446</v>
      </c>
      <c r="K49" s="5" t="s">
        <v>2814</v>
      </c>
      <c r="L49" s="5" t="s">
        <v>2815</v>
      </c>
      <c r="M49" s="5" t="s">
        <v>2816</v>
      </c>
      <c r="N49" s="5" t="s">
        <v>2446</v>
      </c>
      <c r="O49" s="5" t="s">
        <v>2446</v>
      </c>
      <c r="P49" s="5"/>
      <c r="Q49" s="5" t="s">
        <v>2449</v>
      </c>
      <c r="R49" s="5" t="s">
        <v>2817</v>
      </c>
      <c r="S49" s="6" t="s">
        <v>2818</v>
      </c>
    </row>
    <row r="50" spans="1:19" ht="55.2">
      <c r="A50" s="5" t="s">
        <v>566</v>
      </c>
      <c r="B50" s="5" t="s">
        <v>380</v>
      </c>
      <c r="C50" s="5" t="s">
        <v>108</v>
      </c>
      <c r="D50" s="5" t="s">
        <v>2819</v>
      </c>
      <c r="E50" s="5" t="s">
        <v>867</v>
      </c>
      <c r="F50" s="5" t="s">
        <v>867</v>
      </c>
      <c r="G50" s="5" t="s">
        <v>867</v>
      </c>
      <c r="H50" s="5" t="s">
        <v>867</v>
      </c>
      <c r="I50" s="5" t="s">
        <v>867</v>
      </c>
      <c r="J50" s="5" t="s">
        <v>867</v>
      </c>
      <c r="K50" s="5" t="s">
        <v>2577</v>
      </c>
      <c r="L50" s="5" t="s">
        <v>2820</v>
      </c>
      <c r="M50" s="5" t="s">
        <v>2821</v>
      </c>
      <c r="N50" s="5" t="s">
        <v>2703</v>
      </c>
      <c r="O50" s="5" t="s">
        <v>2446</v>
      </c>
      <c r="P50" s="5"/>
      <c r="Q50" s="5" t="s">
        <v>2822</v>
      </c>
      <c r="R50" s="5" t="s">
        <v>2823</v>
      </c>
      <c r="S50" s="6" t="s">
        <v>2824</v>
      </c>
    </row>
    <row r="51" spans="1:19" ht="69">
      <c r="A51" s="5" t="s">
        <v>577</v>
      </c>
      <c r="B51" s="5" t="s">
        <v>380</v>
      </c>
      <c r="C51" s="5" t="s">
        <v>108</v>
      </c>
      <c r="D51" s="5" t="s">
        <v>2825</v>
      </c>
      <c r="E51" s="5" t="s">
        <v>2559</v>
      </c>
      <c r="F51" s="5" t="s">
        <v>2826</v>
      </c>
      <c r="G51" s="5" t="s">
        <v>2827</v>
      </c>
      <c r="H51" s="5" t="s">
        <v>2828</v>
      </c>
      <c r="I51" s="5" t="s">
        <v>2829</v>
      </c>
      <c r="J51" s="5" t="s">
        <v>867</v>
      </c>
      <c r="K51" s="5" t="s">
        <v>2830</v>
      </c>
      <c r="L51" s="5" t="s">
        <v>2831</v>
      </c>
      <c r="M51" s="5" t="s">
        <v>2832</v>
      </c>
      <c r="N51" s="5" t="s">
        <v>2833</v>
      </c>
      <c r="O51" s="5" t="s">
        <v>2446</v>
      </c>
      <c r="P51" s="5"/>
      <c r="Q51" s="5" t="s">
        <v>2449</v>
      </c>
      <c r="R51" s="5" t="s">
        <v>2834</v>
      </c>
      <c r="S51" s="6" t="s">
        <v>2835</v>
      </c>
    </row>
    <row r="52" spans="1:19" ht="55.2">
      <c r="A52" s="5" t="s">
        <v>586</v>
      </c>
      <c r="B52" s="5" t="s">
        <v>380</v>
      </c>
      <c r="C52" s="5" t="s">
        <v>108</v>
      </c>
      <c r="D52" s="5" t="s">
        <v>2836</v>
      </c>
      <c r="E52" s="5" t="s">
        <v>2446</v>
      </c>
      <c r="F52" s="5" t="s">
        <v>2703</v>
      </c>
      <c r="G52" s="5" t="s">
        <v>2446</v>
      </c>
      <c r="H52" s="5" t="s">
        <v>2446</v>
      </c>
      <c r="I52" s="5" t="s">
        <v>2446</v>
      </c>
      <c r="J52" s="5" t="s">
        <v>2446</v>
      </c>
      <c r="K52" s="5" t="s">
        <v>2837</v>
      </c>
      <c r="L52" s="5" t="s">
        <v>2446</v>
      </c>
      <c r="M52" s="5" t="s">
        <v>2838</v>
      </c>
      <c r="N52" s="5" t="s">
        <v>2446</v>
      </c>
      <c r="O52" s="5" t="s">
        <v>2446</v>
      </c>
      <c r="P52" s="5"/>
      <c r="Q52" s="5" t="s">
        <v>2783</v>
      </c>
      <c r="R52" s="5" t="s">
        <v>2839</v>
      </c>
      <c r="S52" s="6" t="s">
        <v>2840</v>
      </c>
    </row>
    <row r="53" spans="1:19" ht="69">
      <c r="A53" s="5" t="s">
        <v>595</v>
      </c>
      <c r="B53" s="5" t="s">
        <v>380</v>
      </c>
      <c r="C53" s="5" t="s">
        <v>108</v>
      </c>
      <c r="D53" s="5" t="s">
        <v>2841</v>
      </c>
      <c r="E53" s="5" t="s">
        <v>2446</v>
      </c>
      <c r="F53" s="5" t="s">
        <v>2446</v>
      </c>
      <c r="G53" s="5" t="s">
        <v>2446</v>
      </c>
      <c r="H53" s="5" t="s">
        <v>2446</v>
      </c>
      <c r="I53" s="5" t="s">
        <v>2446</v>
      </c>
      <c r="J53" s="5" t="s">
        <v>2446</v>
      </c>
      <c r="K53" s="5" t="s">
        <v>2842</v>
      </c>
      <c r="L53" s="5" t="s">
        <v>2446</v>
      </c>
      <c r="M53" s="5" t="s">
        <v>2843</v>
      </c>
      <c r="N53" s="5" t="s">
        <v>2446</v>
      </c>
      <c r="O53" s="5" t="s">
        <v>2446</v>
      </c>
      <c r="P53" s="5"/>
      <c r="Q53" s="5" t="s">
        <v>2844</v>
      </c>
      <c r="R53" s="5" t="s">
        <v>2845</v>
      </c>
      <c r="S53" s="6" t="s">
        <v>2846</v>
      </c>
    </row>
    <row r="54" spans="1:19" ht="69">
      <c r="A54" s="5" t="s">
        <v>607</v>
      </c>
      <c r="B54" s="5" t="s">
        <v>380</v>
      </c>
      <c r="C54" s="5" t="s">
        <v>108</v>
      </c>
      <c r="D54" s="5" t="s">
        <v>2847</v>
      </c>
      <c r="E54" s="5" t="s">
        <v>2559</v>
      </c>
      <c r="F54" s="5" t="s">
        <v>2848</v>
      </c>
      <c r="G54" s="5" t="s">
        <v>2849</v>
      </c>
      <c r="H54" s="5" t="s">
        <v>2850</v>
      </c>
      <c r="I54" s="5" t="s">
        <v>2851</v>
      </c>
      <c r="J54" s="5" t="s">
        <v>2446</v>
      </c>
      <c r="K54" s="5" t="s">
        <v>2852</v>
      </c>
      <c r="L54" s="5" t="s">
        <v>2853</v>
      </c>
      <c r="M54" s="5" t="s">
        <v>2854</v>
      </c>
      <c r="N54" s="5" t="s">
        <v>2855</v>
      </c>
      <c r="O54" s="5" t="s">
        <v>2446</v>
      </c>
      <c r="P54" s="5"/>
      <c r="Q54" s="5" t="s">
        <v>2505</v>
      </c>
      <c r="R54" s="5" t="s">
        <v>2856</v>
      </c>
      <c r="S54" s="6" t="s">
        <v>2857</v>
      </c>
    </row>
    <row r="55" spans="1:19" ht="82.8">
      <c r="A55" s="5" t="s">
        <v>616</v>
      </c>
      <c r="B55" s="5" t="s">
        <v>380</v>
      </c>
      <c r="C55" s="5" t="s">
        <v>108</v>
      </c>
      <c r="D55" s="5" t="s">
        <v>2858</v>
      </c>
      <c r="E55" s="5" t="s">
        <v>2446</v>
      </c>
      <c r="F55" s="5" t="s">
        <v>2859</v>
      </c>
      <c r="G55" s="5" t="s">
        <v>2860</v>
      </c>
      <c r="H55" s="5" t="s">
        <v>2861</v>
      </c>
      <c r="I55" s="5" t="s">
        <v>867</v>
      </c>
      <c r="J55" s="5" t="s">
        <v>2862</v>
      </c>
      <c r="K55" s="5" t="s">
        <v>2863</v>
      </c>
      <c r="L55" s="5" t="s">
        <v>2864</v>
      </c>
      <c r="M55" s="5" t="s">
        <v>2865</v>
      </c>
      <c r="N55" s="5" t="s">
        <v>2446</v>
      </c>
      <c r="O55" s="5" t="s">
        <v>2446</v>
      </c>
      <c r="P55" s="5"/>
      <c r="Q55" s="5" t="s">
        <v>2449</v>
      </c>
      <c r="R55" s="5" t="s">
        <v>2866</v>
      </c>
      <c r="S55" s="6" t="s">
        <v>2867</v>
      </c>
    </row>
    <row r="56" spans="1:19" ht="55.2">
      <c r="A56" s="2" t="s">
        <v>625</v>
      </c>
      <c r="B56" s="2" t="s">
        <v>380</v>
      </c>
      <c r="C56" s="2" t="s">
        <v>108</v>
      </c>
      <c r="D56" s="2" t="s">
        <v>2868</v>
      </c>
      <c r="E56" s="2" t="s">
        <v>2446</v>
      </c>
      <c r="F56" s="2" t="s">
        <v>2446</v>
      </c>
      <c r="G56" s="2" t="s">
        <v>2869</v>
      </c>
      <c r="H56" s="2" t="s">
        <v>2446</v>
      </c>
      <c r="I56" s="2" t="s">
        <v>2703</v>
      </c>
      <c r="J56" s="2" t="s">
        <v>867</v>
      </c>
      <c r="K56" s="2" t="s">
        <v>2870</v>
      </c>
      <c r="L56" s="2" t="s">
        <v>2871</v>
      </c>
      <c r="M56" s="2" t="s">
        <v>2872</v>
      </c>
      <c r="N56" s="2" t="s">
        <v>2609</v>
      </c>
      <c r="O56" s="2" t="s">
        <v>2446</v>
      </c>
      <c r="P56" s="2"/>
      <c r="Q56" s="2" t="s">
        <v>2844</v>
      </c>
      <c r="R56" s="2" t="s">
        <v>2640</v>
      </c>
      <c r="S56" s="3" t="s">
        <v>2873</v>
      </c>
    </row>
  </sheetData>
  <conditionalFormatting sqref="A2:S56">
    <cfRule type="expression" dxfId="2" priority="1">
      <formula>C2="Yes"</formula>
    </cfRule>
  </conditionalFormatting>
  <dataValidations count="2">
    <dataValidation type="list" sqref="D2:O56" xr:uid="{00000000-0002-0000-0500-000000000000}">
      <formula1>"Available,Partial,Not available,Not reported,Not applicable,Pending full-text audit,Available (open-source suite claimed),Available (benchmark suite claimed)"</formula1>
    </dataValidation>
    <dataValidation type="list" sqref="C2:C56" xr:uid="{00000000-0002-0000-0500-00000C000000}">
      <formula1>"Yes,No"</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workbookViewId="0"/>
  </sheetViews>
  <sheetFormatPr baseColWidth="10" defaultColWidth="8.796875" defaultRowHeight="13.8"/>
  <cols>
    <col min="1" max="1" width="12" customWidth="1"/>
    <col min="2" max="2" width="18" customWidth="1"/>
    <col min="3" max="3" width="20" customWidth="1"/>
    <col min="4" max="4" width="48" customWidth="1"/>
    <col min="5" max="5" width="14" customWidth="1"/>
    <col min="6" max="6" width="48" customWidth="1"/>
    <col min="7" max="7" width="14" customWidth="1"/>
    <col min="8" max="8" width="35" customWidth="1"/>
    <col min="9" max="9" width="28" customWidth="1"/>
  </cols>
  <sheetData>
    <row r="1" spans="1:9">
      <c r="A1" s="1" t="s">
        <v>2874</v>
      </c>
      <c r="B1" s="1" t="s">
        <v>2875</v>
      </c>
      <c r="C1" s="1" t="s">
        <v>2876</v>
      </c>
      <c r="D1" s="1" t="s">
        <v>2877</v>
      </c>
      <c r="E1" s="1" t="s">
        <v>2878</v>
      </c>
      <c r="F1" s="1" t="s">
        <v>2879</v>
      </c>
      <c r="G1" s="1" t="s">
        <v>2880</v>
      </c>
      <c r="H1" s="1" t="s">
        <v>2881</v>
      </c>
      <c r="I1" s="1" t="s">
        <v>2882</v>
      </c>
    </row>
    <row r="2" spans="1:9" ht="41.4">
      <c r="A2" s="5" t="s">
        <v>2883</v>
      </c>
      <c r="B2" s="5" t="s">
        <v>2884</v>
      </c>
      <c r="C2" s="5" t="s">
        <v>2444</v>
      </c>
      <c r="D2" s="5" t="s">
        <v>2885</v>
      </c>
      <c r="E2" s="5" t="s">
        <v>747</v>
      </c>
      <c r="F2" s="5" t="s">
        <v>2886</v>
      </c>
      <c r="G2" s="5" t="s">
        <v>2887</v>
      </c>
      <c r="H2" s="5"/>
      <c r="I2" s="6" t="s">
        <v>2888</v>
      </c>
    </row>
    <row r="3" spans="1:9" ht="27.6">
      <c r="A3" s="5" t="s">
        <v>2889</v>
      </c>
      <c r="B3" s="5" t="s">
        <v>2890</v>
      </c>
      <c r="C3" s="5" t="s">
        <v>86</v>
      </c>
      <c r="D3" s="5" t="s">
        <v>2891</v>
      </c>
      <c r="E3" s="5" t="s">
        <v>1340</v>
      </c>
      <c r="F3" s="5" t="s">
        <v>2892</v>
      </c>
      <c r="G3" s="5" t="s">
        <v>2893</v>
      </c>
      <c r="H3" s="5" t="s">
        <v>2894</v>
      </c>
      <c r="I3" s="6" t="s">
        <v>2895</v>
      </c>
    </row>
    <row r="4" spans="1:9" ht="41.4">
      <c r="A4" s="5" t="s">
        <v>2896</v>
      </c>
      <c r="B4" s="5" t="s">
        <v>96</v>
      </c>
      <c r="C4" s="5" t="s">
        <v>2897</v>
      </c>
      <c r="D4" s="5" t="s">
        <v>2898</v>
      </c>
      <c r="E4" s="5" t="s">
        <v>1242</v>
      </c>
      <c r="F4" s="5" t="s">
        <v>2899</v>
      </c>
      <c r="G4" s="5" t="s">
        <v>2900</v>
      </c>
      <c r="H4" s="5" t="s">
        <v>2901</v>
      </c>
      <c r="I4" s="6" t="s">
        <v>2902</v>
      </c>
    </row>
    <row r="5" spans="1:9" ht="27.6">
      <c r="A5" s="5" t="s">
        <v>2903</v>
      </c>
      <c r="B5" s="5" t="s">
        <v>362</v>
      </c>
      <c r="C5" s="5" t="s">
        <v>2904</v>
      </c>
      <c r="D5" s="5" t="s">
        <v>2905</v>
      </c>
      <c r="E5" s="5" t="s">
        <v>1242</v>
      </c>
      <c r="F5" s="5" t="s">
        <v>2906</v>
      </c>
      <c r="G5" s="5" t="s">
        <v>2900</v>
      </c>
      <c r="H5" s="5" t="s">
        <v>2907</v>
      </c>
      <c r="I5" s="6" t="s">
        <v>2908</v>
      </c>
    </row>
    <row r="6" spans="1:9" ht="41.4">
      <c r="A6" s="5" t="s">
        <v>2909</v>
      </c>
      <c r="B6" s="5" t="s">
        <v>548</v>
      </c>
      <c r="C6" s="5" t="s">
        <v>2910</v>
      </c>
      <c r="D6" s="5" t="s">
        <v>2911</v>
      </c>
      <c r="E6" s="5" t="s">
        <v>747</v>
      </c>
      <c r="F6" s="5" t="s">
        <v>2912</v>
      </c>
      <c r="G6" s="5" t="s">
        <v>2893</v>
      </c>
      <c r="H6" s="5" t="s">
        <v>2913</v>
      </c>
      <c r="I6" s="6" t="s">
        <v>2914</v>
      </c>
    </row>
    <row r="7" spans="1:9" ht="69">
      <c r="A7" s="5" t="s">
        <v>2915</v>
      </c>
      <c r="B7" s="5" t="s">
        <v>184</v>
      </c>
      <c r="C7" s="5" t="s">
        <v>2916</v>
      </c>
      <c r="D7" s="5" t="s">
        <v>2917</v>
      </c>
      <c r="E7" s="5" t="s">
        <v>747</v>
      </c>
      <c r="F7" s="5" t="s">
        <v>2918</v>
      </c>
      <c r="G7" s="5" t="s">
        <v>2887</v>
      </c>
      <c r="H7" s="5" t="s">
        <v>2919</v>
      </c>
      <c r="I7" s="6" t="s">
        <v>2920</v>
      </c>
    </row>
    <row r="8" spans="1:9" ht="41.4">
      <c r="A8" s="5" t="s">
        <v>2921</v>
      </c>
      <c r="B8" s="5" t="s">
        <v>528</v>
      </c>
      <c r="C8" s="5" t="s">
        <v>2922</v>
      </c>
      <c r="D8" s="5" t="s">
        <v>2923</v>
      </c>
      <c r="E8" s="5" t="s">
        <v>1340</v>
      </c>
      <c r="F8" s="5" t="s">
        <v>2924</v>
      </c>
      <c r="G8" s="5" t="s">
        <v>2887</v>
      </c>
      <c r="H8" s="5" t="s">
        <v>2925</v>
      </c>
      <c r="I8" s="6" t="s">
        <v>2926</v>
      </c>
    </row>
    <row r="9" spans="1:9" ht="41.4">
      <c r="A9" s="5" t="s">
        <v>2927</v>
      </c>
      <c r="B9" s="5" t="s">
        <v>509</v>
      </c>
      <c r="C9" s="5" t="s">
        <v>2928</v>
      </c>
      <c r="D9" s="5" t="s">
        <v>2929</v>
      </c>
      <c r="E9" s="5" t="s">
        <v>1242</v>
      </c>
      <c r="F9" s="5" t="s">
        <v>2930</v>
      </c>
      <c r="G9" s="5" t="s">
        <v>2900</v>
      </c>
      <c r="H9" s="5" t="s">
        <v>2931</v>
      </c>
      <c r="I9" s="6" t="s">
        <v>2932</v>
      </c>
    </row>
    <row r="10" spans="1:9" ht="27.6">
      <c r="A10" s="5" t="s">
        <v>2933</v>
      </c>
      <c r="B10" s="5" t="s">
        <v>77</v>
      </c>
      <c r="C10" s="5" t="s">
        <v>2934</v>
      </c>
      <c r="D10" s="5" t="s">
        <v>2935</v>
      </c>
      <c r="E10" s="5" t="s">
        <v>1242</v>
      </c>
      <c r="F10" s="5" t="s">
        <v>2936</v>
      </c>
      <c r="G10" s="5" t="s">
        <v>2893</v>
      </c>
      <c r="H10" s="5" t="s">
        <v>2937</v>
      </c>
      <c r="I10" s="6" t="s">
        <v>2938</v>
      </c>
    </row>
    <row r="11" spans="1:9" ht="27.6">
      <c r="A11" s="5" t="s">
        <v>2939</v>
      </c>
      <c r="B11" s="5" t="s">
        <v>2884</v>
      </c>
      <c r="C11" s="5" t="s">
        <v>2940</v>
      </c>
      <c r="D11" s="5" t="s">
        <v>2941</v>
      </c>
      <c r="E11" s="5" t="s">
        <v>747</v>
      </c>
      <c r="F11" s="5" t="s">
        <v>2942</v>
      </c>
      <c r="G11" s="5" t="s">
        <v>2893</v>
      </c>
      <c r="H11" s="5" t="s">
        <v>2943</v>
      </c>
      <c r="I11" s="6" t="s">
        <v>2944</v>
      </c>
    </row>
    <row r="12" spans="1:9" ht="41.4">
      <c r="A12" s="5" t="s">
        <v>2945</v>
      </c>
      <c r="B12" s="5" t="s">
        <v>2946</v>
      </c>
      <c r="C12" s="5" t="s">
        <v>2947</v>
      </c>
      <c r="D12" s="5" t="s">
        <v>2948</v>
      </c>
      <c r="E12" s="5" t="s">
        <v>1340</v>
      </c>
      <c r="F12" s="5" t="s">
        <v>2949</v>
      </c>
      <c r="G12" s="5" t="s">
        <v>2887</v>
      </c>
      <c r="H12" s="5"/>
      <c r="I12" s="6" t="s">
        <v>2950</v>
      </c>
    </row>
    <row r="13" spans="1:9" ht="41.4">
      <c r="A13" s="2" t="s">
        <v>2951</v>
      </c>
      <c r="B13" s="2" t="s">
        <v>2952</v>
      </c>
      <c r="C13" s="2" t="s">
        <v>2953</v>
      </c>
      <c r="D13" s="2" t="s">
        <v>2954</v>
      </c>
      <c r="E13" s="2" t="s">
        <v>747</v>
      </c>
      <c r="F13" s="2" t="s">
        <v>2955</v>
      </c>
      <c r="G13" s="2" t="s">
        <v>2887</v>
      </c>
      <c r="H13" s="2"/>
      <c r="I13" s="3" t="s">
        <v>2956</v>
      </c>
    </row>
    <row r="14" spans="1:9">
      <c r="A14" t="s">
        <v>2957</v>
      </c>
      <c r="B14" t="s">
        <v>96</v>
      </c>
      <c r="C14" t="s">
        <v>2958</v>
      </c>
      <c r="D14" t="s">
        <v>2959</v>
      </c>
      <c r="E14" t="s">
        <v>747</v>
      </c>
      <c r="F14" t="s">
        <v>2960</v>
      </c>
      <c r="G14" t="s">
        <v>2887</v>
      </c>
      <c r="H14" t="s">
        <v>2961</v>
      </c>
      <c r="I14" t="s">
        <v>2962</v>
      </c>
    </row>
    <row r="15" spans="1:9">
      <c r="A15" t="s">
        <v>2963</v>
      </c>
      <c r="B15" t="s">
        <v>117</v>
      </c>
      <c r="C15" t="s">
        <v>2964</v>
      </c>
      <c r="D15" t="s">
        <v>2965</v>
      </c>
      <c r="E15" t="s">
        <v>747</v>
      </c>
      <c r="F15" t="s">
        <v>2966</v>
      </c>
      <c r="G15" t="s">
        <v>2893</v>
      </c>
      <c r="H15" t="s">
        <v>2967</v>
      </c>
      <c r="I15" t="s">
        <v>2968</v>
      </c>
    </row>
    <row r="16" spans="1:9">
      <c r="A16" t="s">
        <v>2969</v>
      </c>
      <c r="B16" t="s">
        <v>138</v>
      </c>
      <c r="C16" t="s">
        <v>2970</v>
      </c>
      <c r="D16" t="s">
        <v>2971</v>
      </c>
      <c r="E16" t="s">
        <v>747</v>
      </c>
      <c r="F16" t="s">
        <v>2972</v>
      </c>
      <c r="G16" t="s">
        <v>2887</v>
      </c>
      <c r="H16" t="s">
        <v>2973</v>
      </c>
      <c r="I16" t="s">
        <v>2974</v>
      </c>
    </row>
    <row r="17" spans="1:9">
      <c r="A17" t="s">
        <v>2975</v>
      </c>
      <c r="B17" t="s">
        <v>147</v>
      </c>
      <c r="C17" t="s">
        <v>2916</v>
      </c>
      <c r="D17" t="s">
        <v>2976</v>
      </c>
      <c r="E17" t="s">
        <v>747</v>
      </c>
      <c r="F17" t="s">
        <v>2977</v>
      </c>
      <c r="G17" t="s">
        <v>2893</v>
      </c>
      <c r="H17" t="s">
        <v>2978</v>
      </c>
      <c r="I17" t="s">
        <v>2979</v>
      </c>
    </row>
    <row r="18" spans="1:9">
      <c r="A18" t="s">
        <v>2980</v>
      </c>
      <c r="B18" t="s">
        <v>156</v>
      </c>
      <c r="C18" t="s">
        <v>2910</v>
      </c>
      <c r="D18" t="s">
        <v>2981</v>
      </c>
      <c r="E18" t="s">
        <v>1340</v>
      </c>
      <c r="F18" t="s">
        <v>2982</v>
      </c>
      <c r="G18" t="s">
        <v>2893</v>
      </c>
      <c r="H18" t="s">
        <v>2983</v>
      </c>
      <c r="I18" t="s">
        <v>2984</v>
      </c>
    </row>
    <row r="19" spans="1:9">
      <c r="A19" t="s">
        <v>2985</v>
      </c>
      <c r="B19" t="s">
        <v>165</v>
      </c>
      <c r="C19" t="s">
        <v>2986</v>
      </c>
      <c r="D19" t="s">
        <v>2987</v>
      </c>
      <c r="E19" t="s">
        <v>747</v>
      </c>
      <c r="F19" t="s">
        <v>2988</v>
      </c>
      <c r="G19" t="s">
        <v>2887</v>
      </c>
      <c r="H19" t="s">
        <v>2989</v>
      </c>
      <c r="I19" t="s">
        <v>2990</v>
      </c>
    </row>
    <row r="20" spans="1:9">
      <c r="A20" t="s">
        <v>2991</v>
      </c>
      <c r="B20" t="s">
        <v>193</v>
      </c>
      <c r="C20" t="s">
        <v>2992</v>
      </c>
      <c r="D20" t="s">
        <v>2993</v>
      </c>
      <c r="E20" t="s">
        <v>1340</v>
      </c>
      <c r="F20" t="s">
        <v>2994</v>
      </c>
      <c r="G20" t="s">
        <v>2893</v>
      </c>
      <c r="H20" t="s">
        <v>2995</v>
      </c>
      <c r="I20" t="s">
        <v>2996</v>
      </c>
    </row>
    <row r="21" spans="1:9">
      <c r="A21" t="s">
        <v>2997</v>
      </c>
      <c r="B21" t="s">
        <v>175</v>
      </c>
      <c r="C21" t="s">
        <v>2998</v>
      </c>
      <c r="D21" t="s">
        <v>2999</v>
      </c>
      <c r="E21" t="s">
        <v>1340</v>
      </c>
      <c r="F21" t="s">
        <v>3000</v>
      </c>
      <c r="G21" t="s">
        <v>2887</v>
      </c>
      <c r="H21" t="s">
        <v>3001</v>
      </c>
      <c r="I21" t="s">
        <v>3002</v>
      </c>
    </row>
    <row r="22" spans="1:9" ht="41.4">
      <c r="A22" s="5" t="s">
        <v>3003</v>
      </c>
      <c r="B22" s="5" t="s">
        <v>203</v>
      </c>
      <c r="C22" s="5" t="s">
        <v>3004</v>
      </c>
      <c r="D22" s="5" t="s">
        <v>3005</v>
      </c>
      <c r="E22" s="5" t="s">
        <v>747</v>
      </c>
      <c r="F22" s="5" t="s">
        <v>3006</v>
      </c>
      <c r="G22" s="5" t="s">
        <v>2893</v>
      </c>
      <c r="H22" s="5" t="s">
        <v>3007</v>
      </c>
      <c r="I22" s="5" t="s">
        <v>3008</v>
      </c>
    </row>
    <row r="23" spans="1:9" ht="41.4">
      <c r="A23" s="5" t="s">
        <v>3009</v>
      </c>
      <c r="B23" s="5" t="s">
        <v>212</v>
      </c>
      <c r="C23" s="5" t="s">
        <v>3010</v>
      </c>
      <c r="D23" s="5" t="s">
        <v>3011</v>
      </c>
      <c r="E23" s="5" t="s">
        <v>747</v>
      </c>
      <c r="F23" s="5" t="s">
        <v>3012</v>
      </c>
      <c r="G23" s="5" t="s">
        <v>2893</v>
      </c>
      <c r="H23" s="5" t="s">
        <v>3013</v>
      </c>
      <c r="I23" s="5" t="s">
        <v>3014</v>
      </c>
    </row>
    <row r="24" spans="1:9" ht="55.2">
      <c r="A24" s="5" t="s">
        <v>3015</v>
      </c>
      <c r="B24" s="5" t="s">
        <v>234</v>
      </c>
      <c r="C24" s="5" t="s">
        <v>3016</v>
      </c>
      <c r="D24" s="5" t="s">
        <v>3017</v>
      </c>
      <c r="E24" s="5" t="s">
        <v>747</v>
      </c>
      <c r="F24" s="5" t="s">
        <v>3018</v>
      </c>
      <c r="G24" s="5" t="s">
        <v>2887</v>
      </c>
      <c r="H24" s="5" t="s">
        <v>3019</v>
      </c>
      <c r="I24" s="5" t="s">
        <v>3020</v>
      </c>
    </row>
    <row r="25" spans="1:9" ht="55.2">
      <c r="A25" s="5" t="s">
        <v>3021</v>
      </c>
      <c r="B25" s="5" t="s">
        <v>243</v>
      </c>
      <c r="C25" s="5" t="s">
        <v>2964</v>
      </c>
      <c r="D25" s="5" t="s">
        <v>3022</v>
      </c>
      <c r="E25" s="5" t="s">
        <v>747</v>
      </c>
      <c r="F25" s="5" t="s">
        <v>3023</v>
      </c>
      <c r="G25" s="5" t="s">
        <v>2893</v>
      </c>
      <c r="H25" s="5" t="s">
        <v>3024</v>
      </c>
      <c r="I25" s="5" t="s">
        <v>3025</v>
      </c>
    </row>
    <row r="26" spans="1:9" ht="69">
      <c r="A26" s="5" t="s">
        <v>3026</v>
      </c>
      <c r="B26" s="5" t="s">
        <v>259</v>
      </c>
      <c r="C26" s="5" t="s">
        <v>2970</v>
      </c>
      <c r="D26" s="5" t="s">
        <v>3027</v>
      </c>
      <c r="E26" s="5" t="s">
        <v>747</v>
      </c>
      <c r="F26" s="5" t="s">
        <v>3028</v>
      </c>
      <c r="G26" s="5" t="s">
        <v>2893</v>
      </c>
      <c r="H26" s="5" t="s">
        <v>3029</v>
      </c>
      <c r="I26" s="5" t="s">
        <v>3030</v>
      </c>
    </row>
    <row r="27" spans="1:9" ht="41.4">
      <c r="A27" s="5" t="s">
        <v>3031</v>
      </c>
      <c r="B27" s="5" t="s">
        <v>270</v>
      </c>
      <c r="C27" s="5" t="s">
        <v>3032</v>
      </c>
      <c r="D27" s="5" t="s">
        <v>3033</v>
      </c>
      <c r="E27" s="5" t="s">
        <v>1340</v>
      </c>
      <c r="F27" s="5" t="s">
        <v>3034</v>
      </c>
      <c r="G27" s="5" t="s">
        <v>2893</v>
      </c>
      <c r="H27" s="5" t="s">
        <v>3035</v>
      </c>
      <c r="I27" s="5" t="s">
        <v>3036</v>
      </c>
    </row>
    <row r="28" spans="1:9" ht="27.6">
      <c r="A28" s="5" t="s">
        <v>3037</v>
      </c>
      <c r="B28" s="5" t="s">
        <v>279</v>
      </c>
      <c r="C28" s="5" t="s">
        <v>2992</v>
      </c>
      <c r="D28" s="5" t="s">
        <v>3038</v>
      </c>
      <c r="E28" s="5" t="s">
        <v>1242</v>
      </c>
      <c r="F28" s="5" t="s">
        <v>3039</v>
      </c>
      <c r="G28" s="5" t="s">
        <v>2893</v>
      </c>
      <c r="H28" s="5" t="s">
        <v>3040</v>
      </c>
      <c r="I28" s="5" t="s">
        <v>3041</v>
      </c>
    </row>
    <row r="29" spans="1:9" ht="55.2">
      <c r="A29" s="5" t="s">
        <v>3042</v>
      </c>
      <c r="B29" s="5" t="s">
        <v>291</v>
      </c>
      <c r="C29" s="5" t="s">
        <v>2970</v>
      </c>
      <c r="D29" s="5" t="s">
        <v>3043</v>
      </c>
      <c r="E29" s="5" t="s">
        <v>747</v>
      </c>
      <c r="F29" s="5" t="s">
        <v>3044</v>
      </c>
      <c r="G29" s="5" t="s">
        <v>2893</v>
      </c>
      <c r="H29" s="5" t="s">
        <v>3045</v>
      </c>
      <c r="I29" s="5" t="s">
        <v>3046</v>
      </c>
    </row>
    <row r="30" spans="1:9" ht="55.2">
      <c r="A30" s="5" t="s">
        <v>3047</v>
      </c>
      <c r="B30" s="5" t="s">
        <v>299</v>
      </c>
      <c r="C30" s="5" t="s">
        <v>3048</v>
      </c>
      <c r="D30" s="5" t="s">
        <v>3049</v>
      </c>
      <c r="E30" s="5" t="s">
        <v>747</v>
      </c>
      <c r="F30" s="5" t="s">
        <v>3050</v>
      </c>
      <c r="G30" s="5" t="s">
        <v>2893</v>
      </c>
      <c r="H30" s="5" t="s">
        <v>3051</v>
      </c>
      <c r="I30" s="5" t="s">
        <v>3052</v>
      </c>
    </row>
    <row r="31" spans="1:9" ht="41.4">
      <c r="A31" s="5" t="s">
        <v>3053</v>
      </c>
      <c r="B31" s="5" t="s">
        <v>308</v>
      </c>
      <c r="C31" s="5" t="s">
        <v>2970</v>
      </c>
      <c r="D31" s="5" t="s">
        <v>3054</v>
      </c>
      <c r="E31" s="5" t="s">
        <v>747</v>
      </c>
      <c r="F31" s="5" t="s">
        <v>3055</v>
      </c>
      <c r="G31" s="5" t="s">
        <v>2893</v>
      </c>
      <c r="H31" s="5" t="s">
        <v>3056</v>
      </c>
      <c r="I31" s="5" t="s">
        <v>3057</v>
      </c>
    </row>
    <row r="32" spans="1:9" ht="41.4">
      <c r="A32" s="5" t="s">
        <v>3058</v>
      </c>
      <c r="B32" s="5" t="s">
        <v>317</v>
      </c>
      <c r="C32" s="5" t="s">
        <v>2916</v>
      </c>
      <c r="D32" s="5" t="s">
        <v>3059</v>
      </c>
      <c r="E32" s="5" t="s">
        <v>747</v>
      </c>
      <c r="F32" s="5" t="s">
        <v>3060</v>
      </c>
      <c r="G32" s="5" t="s">
        <v>2893</v>
      </c>
      <c r="H32" s="5" t="s">
        <v>3061</v>
      </c>
      <c r="I32" s="5" t="s">
        <v>3062</v>
      </c>
    </row>
    <row r="33" spans="1:9" ht="41.4">
      <c r="A33" s="5" t="s">
        <v>3063</v>
      </c>
      <c r="B33" s="5" t="s">
        <v>325</v>
      </c>
      <c r="C33" s="5" t="s">
        <v>3064</v>
      </c>
      <c r="D33" s="5" t="s">
        <v>3065</v>
      </c>
      <c r="E33" s="5" t="s">
        <v>1340</v>
      </c>
      <c r="F33" s="5" t="s">
        <v>3066</v>
      </c>
      <c r="G33" s="5" t="s">
        <v>2887</v>
      </c>
      <c r="H33" s="5" t="s">
        <v>3067</v>
      </c>
      <c r="I33" s="5" t="s">
        <v>3068</v>
      </c>
    </row>
    <row r="34" spans="1:9" ht="27.6">
      <c r="A34" s="5" t="s">
        <v>3069</v>
      </c>
      <c r="B34" s="5" t="s">
        <v>334</v>
      </c>
      <c r="C34" s="5" t="s">
        <v>2992</v>
      </c>
      <c r="D34" s="5" t="s">
        <v>3070</v>
      </c>
      <c r="E34" s="5" t="s">
        <v>1242</v>
      </c>
      <c r="F34" s="5" t="s">
        <v>3071</v>
      </c>
      <c r="G34" s="5" t="s">
        <v>2893</v>
      </c>
      <c r="H34" s="5" t="s">
        <v>3072</v>
      </c>
      <c r="I34" s="5" t="s">
        <v>3041</v>
      </c>
    </row>
    <row r="35" spans="1:9" ht="41.4">
      <c r="A35" s="5" t="s">
        <v>3073</v>
      </c>
      <c r="B35" s="5" t="s">
        <v>345</v>
      </c>
      <c r="C35" s="5" t="s">
        <v>3074</v>
      </c>
      <c r="D35" s="5" t="s">
        <v>3075</v>
      </c>
      <c r="E35" s="5" t="s">
        <v>1340</v>
      </c>
      <c r="F35" s="5" t="s">
        <v>3076</v>
      </c>
      <c r="G35" s="5" t="s">
        <v>2893</v>
      </c>
      <c r="H35" s="5" t="s">
        <v>3077</v>
      </c>
      <c r="I35" s="5" t="s">
        <v>3078</v>
      </c>
    </row>
    <row r="36" spans="1:9" ht="41.4">
      <c r="A36" s="5" t="s">
        <v>3079</v>
      </c>
      <c r="B36" s="5" t="s">
        <v>353</v>
      </c>
      <c r="C36" s="5" t="s">
        <v>2970</v>
      </c>
      <c r="D36" s="5" t="s">
        <v>3080</v>
      </c>
      <c r="E36" s="5" t="s">
        <v>747</v>
      </c>
      <c r="F36" s="5" t="s">
        <v>3081</v>
      </c>
      <c r="G36" s="5" t="s">
        <v>2893</v>
      </c>
      <c r="H36" s="5" t="s">
        <v>3082</v>
      </c>
      <c r="I36" s="5" t="s">
        <v>3083</v>
      </c>
    </row>
    <row r="37" spans="1:9" ht="41.4">
      <c r="A37" s="5" t="s">
        <v>3084</v>
      </c>
      <c r="B37" s="5" t="s">
        <v>371</v>
      </c>
      <c r="C37" s="5" t="s">
        <v>3032</v>
      </c>
      <c r="D37" s="5" t="s">
        <v>3085</v>
      </c>
      <c r="E37" s="5" t="s">
        <v>1340</v>
      </c>
      <c r="F37" s="5" t="s">
        <v>3086</v>
      </c>
      <c r="G37" s="5" t="s">
        <v>2893</v>
      </c>
      <c r="H37" s="5" t="s">
        <v>3087</v>
      </c>
      <c r="I37" s="5" t="s">
        <v>3088</v>
      </c>
    </row>
    <row r="38" spans="1:9" ht="41.4">
      <c r="A38" s="5" t="s">
        <v>3089</v>
      </c>
      <c r="B38" s="5" t="s">
        <v>394</v>
      </c>
      <c r="C38" s="5" t="s">
        <v>86</v>
      </c>
      <c r="D38" s="5" t="s">
        <v>3090</v>
      </c>
      <c r="E38" s="5" t="s">
        <v>1340</v>
      </c>
      <c r="F38" s="5" t="s">
        <v>3091</v>
      </c>
      <c r="G38" s="5" t="s">
        <v>2887</v>
      </c>
      <c r="H38" s="5" t="s">
        <v>3092</v>
      </c>
      <c r="I38" s="5" t="s">
        <v>3093</v>
      </c>
    </row>
    <row r="39" spans="1:9" ht="41.4">
      <c r="A39" s="5" t="s">
        <v>3094</v>
      </c>
      <c r="B39" s="5" t="s">
        <v>394</v>
      </c>
      <c r="C39" s="5" t="s">
        <v>3032</v>
      </c>
      <c r="D39" s="5" t="s">
        <v>3095</v>
      </c>
      <c r="E39" s="5" t="s">
        <v>1340</v>
      </c>
      <c r="F39" s="5" t="s">
        <v>3096</v>
      </c>
      <c r="G39" s="5" t="s">
        <v>2893</v>
      </c>
      <c r="H39" s="5" t="s">
        <v>3097</v>
      </c>
      <c r="I39" s="5" t="s">
        <v>3098</v>
      </c>
    </row>
    <row r="40" spans="1:9" ht="55.2">
      <c r="A40" s="5" t="s">
        <v>3099</v>
      </c>
      <c r="B40" s="5" t="s">
        <v>404</v>
      </c>
      <c r="C40" s="5" t="s">
        <v>3100</v>
      </c>
      <c r="D40" s="5" t="s">
        <v>3101</v>
      </c>
      <c r="E40" s="5" t="s">
        <v>1340</v>
      </c>
      <c r="F40" s="5" t="s">
        <v>3102</v>
      </c>
      <c r="G40" s="5" t="s">
        <v>2893</v>
      </c>
      <c r="H40" s="5" t="s">
        <v>3103</v>
      </c>
      <c r="I40" s="5" t="s">
        <v>3104</v>
      </c>
    </row>
    <row r="41" spans="1:9" ht="41.4">
      <c r="A41" s="5" t="s">
        <v>3105</v>
      </c>
      <c r="B41" s="5" t="s">
        <v>452</v>
      </c>
      <c r="C41" s="5" t="s">
        <v>3106</v>
      </c>
      <c r="D41" s="5" t="s">
        <v>3107</v>
      </c>
      <c r="E41" s="5" t="s">
        <v>747</v>
      </c>
      <c r="F41" s="5" t="s">
        <v>3108</v>
      </c>
      <c r="G41" s="5" t="s">
        <v>2893</v>
      </c>
      <c r="H41" s="5" t="s">
        <v>3109</v>
      </c>
      <c r="I41" s="5" t="s">
        <v>3110</v>
      </c>
    </row>
    <row r="42" spans="1:9" ht="41.4">
      <c r="A42" s="5" t="s">
        <v>3111</v>
      </c>
      <c r="B42" s="5" t="s">
        <v>518</v>
      </c>
      <c r="C42" s="5" t="s">
        <v>2992</v>
      </c>
      <c r="D42" s="5" t="s">
        <v>3112</v>
      </c>
      <c r="E42" s="5" t="s">
        <v>747</v>
      </c>
      <c r="F42" s="5" t="s">
        <v>3113</v>
      </c>
      <c r="G42" s="5" t="s">
        <v>2893</v>
      </c>
      <c r="H42" s="5" t="s">
        <v>3114</v>
      </c>
      <c r="I42" s="5" t="s">
        <v>3115</v>
      </c>
    </row>
    <row r="43" spans="1:9" ht="55.2">
      <c r="A43" s="5" t="s">
        <v>3116</v>
      </c>
      <c r="B43" s="5" t="s">
        <v>586</v>
      </c>
      <c r="C43" s="5" t="s">
        <v>3117</v>
      </c>
      <c r="D43" s="5" t="s">
        <v>3118</v>
      </c>
      <c r="E43" s="5" t="s">
        <v>747</v>
      </c>
      <c r="F43" s="5" t="s">
        <v>3119</v>
      </c>
      <c r="G43" s="5" t="s">
        <v>2893</v>
      </c>
      <c r="H43" s="5" t="s">
        <v>3120</v>
      </c>
      <c r="I43" s="5" t="s">
        <v>3121</v>
      </c>
    </row>
    <row r="44" spans="1:9" ht="41.4">
      <c r="A44" s="5" t="s">
        <v>3122</v>
      </c>
      <c r="B44" s="5" t="s">
        <v>379</v>
      </c>
      <c r="C44" s="5" t="s">
        <v>3074</v>
      </c>
      <c r="D44" s="5" t="s">
        <v>3123</v>
      </c>
      <c r="E44" s="5" t="s">
        <v>747</v>
      </c>
      <c r="F44" s="5" t="s">
        <v>3124</v>
      </c>
      <c r="G44" s="5" t="s">
        <v>2893</v>
      </c>
      <c r="H44" s="5" t="s">
        <v>3125</v>
      </c>
      <c r="I44" s="5" t="s">
        <v>3126</v>
      </c>
    </row>
    <row r="45" spans="1:9" ht="41.4">
      <c r="A45" s="5" t="s">
        <v>3127</v>
      </c>
      <c r="B45" s="5" t="s">
        <v>424</v>
      </c>
      <c r="C45" s="5" t="s">
        <v>3128</v>
      </c>
      <c r="D45" s="5" t="s">
        <v>3129</v>
      </c>
      <c r="E45" s="5" t="s">
        <v>1340</v>
      </c>
      <c r="F45" s="5" t="s">
        <v>3130</v>
      </c>
      <c r="G45" s="5" t="s">
        <v>2893</v>
      </c>
      <c r="H45" s="5" t="s">
        <v>3131</v>
      </c>
      <c r="I45" s="5" t="s">
        <v>3132</v>
      </c>
    </row>
    <row r="46" spans="1:9" ht="55.2">
      <c r="A46" s="5" t="s">
        <v>3133</v>
      </c>
      <c r="B46" s="5" t="s">
        <v>471</v>
      </c>
      <c r="C46" s="5" t="s">
        <v>3134</v>
      </c>
      <c r="D46" s="5" t="s">
        <v>3135</v>
      </c>
      <c r="E46" s="5" t="s">
        <v>747</v>
      </c>
      <c r="F46" s="5" t="s">
        <v>3136</v>
      </c>
      <c r="G46" s="5" t="s">
        <v>2893</v>
      </c>
      <c r="H46" s="5" t="s">
        <v>3137</v>
      </c>
      <c r="I46" s="5" t="s">
        <v>3138</v>
      </c>
    </row>
    <row r="47" spans="1:9" ht="41.4">
      <c r="A47" s="5" t="s">
        <v>3139</v>
      </c>
      <c r="B47" s="5" t="s">
        <v>481</v>
      </c>
      <c r="C47" s="5" t="s">
        <v>3140</v>
      </c>
      <c r="D47" s="5" t="s">
        <v>3141</v>
      </c>
      <c r="E47" s="5" t="s">
        <v>1340</v>
      </c>
      <c r="F47" s="5" t="s">
        <v>3142</v>
      </c>
      <c r="G47" s="5" t="s">
        <v>2893</v>
      </c>
      <c r="H47" s="5" t="s">
        <v>3143</v>
      </c>
      <c r="I47" s="5" t="s">
        <v>3144</v>
      </c>
    </row>
    <row r="48" spans="1:9" ht="41.4">
      <c r="A48" s="5" t="s">
        <v>3145</v>
      </c>
      <c r="B48" s="5" t="s">
        <v>491</v>
      </c>
      <c r="C48" s="5" t="s">
        <v>3146</v>
      </c>
      <c r="D48" s="5" t="s">
        <v>3147</v>
      </c>
      <c r="E48" s="5" t="s">
        <v>747</v>
      </c>
      <c r="F48" s="5" t="s">
        <v>3148</v>
      </c>
      <c r="G48" s="5" t="s">
        <v>2893</v>
      </c>
      <c r="H48" s="5" t="s">
        <v>3149</v>
      </c>
      <c r="I48" s="5" t="s">
        <v>3150</v>
      </c>
    </row>
    <row r="49" spans="1:9" ht="55.2">
      <c r="A49" s="5" t="s">
        <v>3151</v>
      </c>
      <c r="B49" s="5" t="s">
        <v>500</v>
      </c>
      <c r="C49" s="5" t="s">
        <v>3152</v>
      </c>
      <c r="D49" s="5" t="s">
        <v>3153</v>
      </c>
      <c r="E49" s="5" t="s">
        <v>747</v>
      </c>
      <c r="F49" s="5" t="s">
        <v>3154</v>
      </c>
      <c r="G49" s="5" t="s">
        <v>2887</v>
      </c>
      <c r="H49" s="5" t="s">
        <v>3155</v>
      </c>
      <c r="I49" s="5" t="s">
        <v>3156</v>
      </c>
    </row>
    <row r="50" spans="1:9" ht="27.6">
      <c r="A50" s="5" t="s">
        <v>3157</v>
      </c>
      <c r="B50" s="5" t="s">
        <v>500</v>
      </c>
      <c r="C50" s="5" t="s">
        <v>3158</v>
      </c>
      <c r="D50" s="5" t="s">
        <v>3159</v>
      </c>
      <c r="E50" s="5" t="s">
        <v>1340</v>
      </c>
      <c r="F50" s="5" t="s">
        <v>3160</v>
      </c>
      <c r="G50" s="5" t="s">
        <v>2893</v>
      </c>
      <c r="H50" s="5" t="s">
        <v>3161</v>
      </c>
      <c r="I50" s="5" t="s">
        <v>3144</v>
      </c>
    </row>
    <row r="51" spans="1:9" ht="41.4">
      <c r="A51" s="5" t="s">
        <v>3162</v>
      </c>
      <c r="B51" s="5" t="s">
        <v>556</v>
      </c>
      <c r="C51" s="5" t="s">
        <v>3163</v>
      </c>
      <c r="D51" s="5" t="s">
        <v>3164</v>
      </c>
      <c r="E51" s="5" t="s">
        <v>747</v>
      </c>
      <c r="F51" s="5" t="s">
        <v>3165</v>
      </c>
      <c r="G51" s="5" t="s">
        <v>2893</v>
      </c>
      <c r="H51" s="5" t="s">
        <v>3166</v>
      </c>
      <c r="I51" s="5" t="s">
        <v>3167</v>
      </c>
    </row>
    <row r="52" spans="1:9" ht="41.4">
      <c r="A52" s="5" t="s">
        <v>3168</v>
      </c>
      <c r="B52" s="5" t="s">
        <v>556</v>
      </c>
      <c r="C52" s="5" t="s">
        <v>3169</v>
      </c>
      <c r="D52" s="5" t="s">
        <v>3170</v>
      </c>
      <c r="E52" s="5" t="s">
        <v>1340</v>
      </c>
      <c r="F52" s="5" t="s">
        <v>3171</v>
      </c>
      <c r="G52" s="5" t="s">
        <v>2893</v>
      </c>
      <c r="H52" s="5" t="s">
        <v>3172</v>
      </c>
      <c r="I52" s="5" t="s">
        <v>3173</v>
      </c>
    </row>
    <row r="53" spans="1:9" ht="55.2">
      <c r="A53" s="5" t="s">
        <v>3174</v>
      </c>
      <c r="B53" s="5" t="s">
        <v>442</v>
      </c>
      <c r="C53" s="5" t="s">
        <v>3175</v>
      </c>
      <c r="D53" s="5" t="s">
        <v>3176</v>
      </c>
      <c r="E53" s="5" t="s">
        <v>747</v>
      </c>
      <c r="F53" s="5" t="s">
        <v>3177</v>
      </c>
      <c r="G53" s="5" t="s">
        <v>2893</v>
      </c>
      <c r="H53" s="5" t="s">
        <v>3178</v>
      </c>
      <c r="I53" s="5" t="s">
        <v>3179</v>
      </c>
    </row>
    <row r="54" spans="1:9" ht="41.4">
      <c r="A54" s="5" t="s">
        <v>3180</v>
      </c>
      <c r="B54" s="5" t="s">
        <v>442</v>
      </c>
      <c r="C54" s="5" t="s">
        <v>3181</v>
      </c>
      <c r="D54" s="5" t="s">
        <v>3182</v>
      </c>
      <c r="E54" s="5" t="s">
        <v>1340</v>
      </c>
      <c r="F54" s="5" t="s">
        <v>3183</v>
      </c>
      <c r="G54" s="5" t="s">
        <v>2887</v>
      </c>
      <c r="H54" s="5" t="s">
        <v>3184</v>
      </c>
      <c r="I54" s="5" t="s">
        <v>2998</v>
      </c>
    </row>
    <row r="55" spans="1:9" ht="41.4">
      <c r="A55" s="5" t="s">
        <v>3185</v>
      </c>
      <c r="B55" s="5" t="s">
        <v>461</v>
      </c>
      <c r="C55" s="5" t="s">
        <v>2916</v>
      </c>
      <c r="D55" s="5" t="s">
        <v>3186</v>
      </c>
      <c r="E55" s="5" t="s">
        <v>747</v>
      </c>
      <c r="F55" s="5" t="s">
        <v>3187</v>
      </c>
      <c r="G55" s="5" t="s">
        <v>2893</v>
      </c>
      <c r="H55" s="5" t="s">
        <v>3188</v>
      </c>
      <c r="I55" s="5" t="s">
        <v>3189</v>
      </c>
    </row>
    <row r="56" spans="1:9" ht="55.2">
      <c r="A56" s="5" t="s">
        <v>3190</v>
      </c>
      <c r="B56" s="5" t="s">
        <v>537</v>
      </c>
      <c r="C56" s="5" t="s">
        <v>3191</v>
      </c>
      <c r="D56" s="5" t="s">
        <v>3192</v>
      </c>
      <c r="E56" s="5" t="s">
        <v>747</v>
      </c>
      <c r="F56" s="5" t="s">
        <v>3193</v>
      </c>
      <c r="G56" s="5" t="s">
        <v>2893</v>
      </c>
      <c r="H56" s="5" t="s">
        <v>3194</v>
      </c>
      <c r="I56" s="5" t="s">
        <v>3195</v>
      </c>
    </row>
    <row r="57" spans="1:9" ht="55.2">
      <c r="A57" s="5" t="s">
        <v>3196</v>
      </c>
      <c r="B57" s="5" t="s">
        <v>595</v>
      </c>
      <c r="C57" s="5" t="s">
        <v>3197</v>
      </c>
      <c r="D57" s="5" t="s">
        <v>3198</v>
      </c>
      <c r="E57" s="5" t="s">
        <v>747</v>
      </c>
      <c r="F57" s="5" t="s">
        <v>3199</v>
      </c>
      <c r="G57" s="5" t="s">
        <v>2893</v>
      </c>
      <c r="H57" s="5" t="s">
        <v>3200</v>
      </c>
      <c r="I57" s="5" t="s">
        <v>3201</v>
      </c>
    </row>
    <row r="58" spans="1:9" ht="41.4">
      <c r="A58" s="5" t="s">
        <v>3202</v>
      </c>
      <c r="B58" s="5" t="s">
        <v>595</v>
      </c>
      <c r="C58" s="5" t="s">
        <v>3074</v>
      </c>
      <c r="D58" s="5" t="s">
        <v>3203</v>
      </c>
      <c r="E58" s="5" t="s">
        <v>747</v>
      </c>
      <c r="F58" s="5" t="s">
        <v>3204</v>
      </c>
      <c r="G58" s="5" t="s">
        <v>2893</v>
      </c>
      <c r="H58" s="5" t="s">
        <v>3205</v>
      </c>
      <c r="I58" s="5" t="s">
        <v>3206</v>
      </c>
    </row>
    <row r="59" spans="1:9" ht="55.2">
      <c r="A59" s="5" t="s">
        <v>3207</v>
      </c>
      <c r="B59" s="5" t="s">
        <v>616</v>
      </c>
      <c r="C59" s="5" t="s">
        <v>3208</v>
      </c>
      <c r="D59" s="5" t="s">
        <v>3209</v>
      </c>
      <c r="E59" s="5" t="s">
        <v>1340</v>
      </c>
      <c r="F59" s="5" t="s">
        <v>3210</v>
      </c>
      <c r="G59" s="5" t="s">
        <v>2893</v>
      </c>
      <c r="H59" s="5" t="s">
        <v>3211</v>
      </c>
      <c r="I59" s="5" t="s">
        <v>3212</v>
      </c>
    </row>
    <row r="60" spans="1:9" ht="41.4">
      <c r="A60" s="5" t="s">
        <v>3213</v>
      </c>
      <c r="B60" s="5" t="s">
        <v>625</v>
      </c>
      <c r="C60" s="5" t="s">
        <v>2992</v>
      </c>
      <c r="D60" s="5" t="s">
        <v>3214</v>
      </c>
      <c r="E60" s="5" t="s">
        <v>747</v>
      </c>
      <c r="F60" s="5" t="s">
        <v>3215</v>
      </c>
      <c r="G60" s="5" t="s">
        <v>2893</v>
      </c>
      <c r="H60" s="5" t="s">
        <v>3216</v>
      </c>
      <c r="I60" s="5" t="s">
        <v>3217</v>
      </c>
    </row>
    <row r="61" spans="1:9" ht="41.4">
      <c r="A61" s="5" t="s">
        <v>3218</v>
      </c>
      <c r="B61" s="5" t="s">
        <v>625</v>
      </c>
      <c r="C61" s="5" t="s">
        <v>3219</v>
      </c>
      <c r="D61" s="5" t="s">
        <v>3220</v>
      </c>
      <c r="E61" s="5" t="s">
        <v>1340</v>
      </c>
      <c r="F61" s="5" t="s">
        <v>3221</v>
      </c>
      <c r="G61" s="5" t="s">
        <v>2893</v>
      </c>
      <c r="H61" s="5" t="s">
        <v>3222</v>
      </c>
      <c r="I61" s="5" t="s">
        <v>3223</v>
      </c>
    </row>
    <row r="62" spans="1:9" ht="41.4">
      <c r="A62" s="5" t="s">
        <v>3224</v>
      </c>
      <c r="B62" s="5" t="s">
        <v>412</v>
      </c>
      <c r="C62" s="5" t="s">
        <v>3225</v>
      </c>
      <c r="D62" s="5" t="s">
        <v>3226</v>
      </c>
      <c r="E62" s="5" t="s">
        <v>1340</v>
      </c>
      <c r="F62" s="5" t="s">
        <v>3227</v>
      </c>
      <c r="G62" s="5" t="s">
        <v>2893</v>
      </c>
      <c r="H62" s="5" t="s">
        <v>3228</v>
      </c>
      <c r="I62" s="5" t="s">
        <v>3229</v>
      </c>
    </row>
    <row r="63" spans="1:9" ht="55.2">
      <c r="A63" s="5" t="s">
        <v>3230</v>
      </c>
      <c r="B63" s="5" t="s">
        <v>412</v>
      </c>
      <c r="C63" s="5" t="s">
        <v>3231</v>
      </c>
      <c r="D63" s="5" t="s">
        <v>3232</v>
      </c>
      <c r="E63" s="5" t="s">
        <v>1340</v>
      </c>
      <c r="F63" s="5" t="s">
        <v>3233</v>
      </c>
      <c r="G63" s="5" t="s">
        <v>2893</v>
      </c>
      <c r="H63" s="5" t="s">
        <v>3234</v>
      </c>
      <c r="I63" s="5" t="s">
        <v>3235</v>
      </c>
    </row>
    <row r="64" spans="1:9" ht="41.4">
      <c r="A64" s="5" t="s">
        <v>3236</v>
      </c>
      <c r="B64" s="5" t="s">
        <v>434</v>
      </c>
      <c r="C64" s="5" t="s">
        <v>3237</v>
      </c>
      <c r="D64" s="5" t="s">
        <v>3238</v>
      </c>
      <c r="E64" s="5" t="s">
        <v>1340</v>
      </c>
      <c r="F64" s="5" t="s">
        <v>3239</v>
      </c>
      <c r="G64" s="5" t="s">
        <v>2893</v>
      </c>
      <c r="H64" s="5" t="s">
        <v>3240</v>
      </c>
      <c r="I64" s="5" t="s">
        <v>3241</v>
      </c>
    </row>
    <row r="65" spans="1:9" ht="41.4">
      <c r="A65" s="5" t="s">
        <v>3242</v>
      </c>
      <c r="B65" s="5" t="s">
        <v>566</v>
      </c>
      <c r="C65" s="5" t="s">
        <v>3243</v>
      </c>
      <c r="D65" s="5" t="s">
        <v>3244</v>
      </c>
      <c r="E65" s="5" t="s">
        <v>747</v>
      </c>
      <c r="F65" s="5" t="s">
        <v>3245</v>
      </c>
      <c r="G65" s="5" t="s">
        <v>2893</v>
      </c>
      <c r="H65" s="5" t="s">
        <v>3246</v>
      </c>
      <c r="I65" s="5" t="s">
        <v>3247</v>
      </c>
    </row>
    <row r="66" spans="1:9" ht="55.2">
      <c r="A66" s="5" t="s">
        <v>3248</v>
      </c>
      <c r="B66" s="5" t="s">
        <v>577</v>
      </c>
      <c r="C66" s="5" t="s">
        <v>3249</v>
      </c>
      <c r="D66" s="5" t="s">
        <v>3250</v>
      </c>
      <c r="E66" s="5" t="s">
        <v>747</v>
      </c>
      <c r="F66" s="5" t="s">
        <v>3251</v>
      </c>
      <c r="G66" s="5" t="s">
        <v>2893</v>
      </c>
      <c r="H66" s="5" t="s">
        <v>3252</v>
      </c>
      <c r="I66" s="5" t="s">
        <v>3253</v>
      </c>
    </row>
    <row r="67" spans="1:9" ht="55.2">
      <c r="A67" s="5" t="s">
        <v>3254</v>
      </c>
      <c r="B67" s="5" t="s">
        <v>577</v>
      </c>
      <c r="C67" s="5" t="s">
        <v>3255</v>
      </c>
      <c r="D67" s="5" t="s">
        <v>3256</v>
      </c>
      <c r="E67" s="5" t="s">
        <v>1340</v>
      </c>
      <c r="F67" s="5" t="s">
        <v>3257</v>
      </c>
      <c r="G67" s="5" t="s">
        <v>2893</v>
      </c>
      <c r="H67" s="5" t="s">
        <v>3258</v>
      </c>
      <c r="I67" s="5" t="s">
        <v>3259</v>
      </c>
    </row>
    <row r="68" spans="1:9" ht="55.2">
      <c r="A68" s="5" t="s">
        <v>3260</v>
      </c>
      <c r="B68" s="5" t="s">
        <v>607</v>
      </c>
      <c r="C68" s="5" t="s">
        <v>3261</v>
      </c>
      <c r="D68" s="5" t="s">
        <v>3262</v>
      </c>
      <c r="E68" s="5" t="s">
        <v>1340</v>
      </c>
      <c r="F68" s="5" t="s">
        <v>3263</v>
      </c>
      <c r="G68" s="5" t="s">
        <v>2893</v>
      </c>
      <c r="H68" s="5" t="s">
        <v>3264</v>
      </c>
      <c r="I68" s="5" t="s">
        <v>3265</v>
      </c>
    </row>
    <row r="69" spans="1:9" ht="55.2">
      <c r="A69" s="5" t="s">
        <v>3266</v>
      </c>
      <c r="B69" s="5" t="s">
        <v>607</v>
      </c>
      <c r="C69" s="5" t="s">
        <v>3267</v>
      </c>
      <c r="D69" s="5" t="s">
        <v>3268</v>
      </c>
      <c r="E69" s="5" t="s">
        <v>747</v>
      </c>
      <c r="F69" s="5" t="s">
        <v>3269</v>
      </c>
      <c r="G69" s="5" t="s">
        <v>2893</v>
      </c>
      <c r="H69" s="5" t="s">
        <v>3270</v>
      </c>
      <c r="I69" s="5" t="s">
        <v>3271</v>
      </c>
    </row>
    <row r="70" spans="1:9" ht="41.4">
      <c r="A70" s="5" t="s">
        <v>3272</v>
      </c>
      <c r="B70" s="5" t="s">
        <v>607</v>
      </c>
      <c r="C70" s="5" t="s">
        <v>3273</v>
      </c>
      <c r="D70" s="5" t="s">
        <v>3274</v>
      </c>
      <c r="E70" s="5" t="s">
        <v>1340</v>
      </c>
      <c r="F70" s="5" t="s">
        <v>3275</v>
      </c>
      <c r="G70" s="5" t="s">
        <v>2893</v>
      </c>
      <c r="H70" s="5" t="s">
        <v>3276</v>
      </c>
      <c r="I70" s="5" t="s">
        <v>3277</v>
      </c>
    </row>
  </sheetData>
  <conditionalFormatting sqref="A2:I13">
    <cfRule type="expression" dxfId="1" priority="1">
      <formula>$G2="Open"</formula>
    </cfRule>
    <cfRule type="expression" dxfId="0" priority="2">
      <formula>$G2="Controlled"</formula>
    </cfRule>
  </conditionalFormatting>
  <dataValidations count="1">
    <dataValidation type="list" sqref="G2:G13" xr:uid="{00000000-0002-0000-0600-000000000000}">
      <formula1>"Open,Controlled,Resolved,Deferred"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workbookViewId="0"/>
  </sheetViews>
  <sheetFormatPr baseColWidth="10" defaultColWidth="8.796875" defaultRowHeight="13.8"/>
  <cols>
    <col min="1" max="1" width="10" customWidth="1"/>
    <col min="2" max="2" width="16" customWidth="1"/>
    <col min="3" max="3" width="28" customWidth="1"/>
    <col min="4" max="4" width="24" customWidth="1"/>
    <col min="5" max="5" width="32" customWidth="1"/>
    <col min="6" max="6" width="38" customWidth="1"/>
    <col min="7" max="7" width="14" customWidth="1"/>
    <col min="8" max="8" width="20" customWidth="1"/>
  </cols>
  <sheetData>
    <row r="1" spans="1:12" ht="21">
      <c r="A1" s="14" t="s">
        <v>3278</v>
      </c>
      <c r="B1" s="14"/>
      <c r="C1" s="14"/>
      <c r="D1" s="14"/>
      <c r="E1" s="14"/>
      <c r="F1" s="14"/>
      <c r="G1" s="14"/>
      <c r="H1" s="14"/>
    </row>
    <row r="3" spans="1:12">
      <c r="A3" s="1" t="s">
        <v>3279</v>
      </c>
      <c r="B3" s="1" t="s">
        <v>3280</v>
      </c>
      <c r="C3" s="1" t="s">
        <v>3281</v>
      </c>
      <c r="D3" s="1"/>
      <c r="E3" s="1" t="s">
        <v>3279</v>
      </c>
      <c r="F3" s="1" t="s">
        <v>3280</v>
      </c>
      <c r="G3" s="1" t="s">
        <v>3281</v>
      </c>
      <c r="H3" s="1"/>
      <c r="J3" s="1" t="s">
        <v>77</v>
      </c>
      <c r="K3" s="1" t="s">
        <v>79</v>
      </c>
      <c r="L3" s="1" t="s">
        <v>3282</v>
      </c>
    </row>
    <row r="4" spans="1:12" ht="55.2">
      <c r="A4" s="7" t="s">
        <v>3283</v>
      </c>
      <c r="B4" s="5">
        <v>55</v>
      </c>
      <c r="C4" s="5" t="s">
        <v>3284</v>
      </c>
      <c r="D4" s="5"/>
      <c r="E4" s="7" t="s">
        <v>3285</v>
      </c>
      <c r="F4" s="5">
        <v>5</v>
      </c>
      <c r="G4" s="5" t="s">
        <v>3286</v>
      </c>
      <c r="H4" s="6"/>
      <c r="J4" s="5" t="s">
        <v>97</v>
      </c>
      <c r="K4" s="5">
        <f>COUNTIFS('01_MASTER_55'!B2:B56,"Core",'01_MASTER_55'!D2:D56,"Yes")</f>
        <v>5</v>
      </c>
      <c r="L4" s="6">
        <f>COUNTIF('01_MASTER_55'!B2:B56,"Core")</f>
        <v>29</v>
      </c>
    </row>
    <row r="5" spans="1:12" ht="55.2">
      <c r="A5" s="7" t="s">
        <v>3287</v>
      </c>
      <c r="B5" s="5">
        <v>29</v>
      </c>
      <c r="C5" s="5" t="s">
        <v>3288</v>
      </c>
      <c r="D5" s="5"/>
      <c r="E5" s="7" t="s">
        <v>3289</v>
      </c>
      <c r="F5" s="5">
        <v>3</v>
      </c>
      <c r="G5" s="5" t="s">
        <v>3290</v>
      </c>
      <c r="H5" s="6"/>
      <c r="J5" s="2" t="s">
        <v>380</v>
      </c>
      <c r="K5" s="2">
        <f>COUNTIFS('01_MASTER_55'!B2:B56,"Complementary",'01_MASTER_55'!D2:D56,"Yes")</f>
        <v>3</v>
      </c>
      <c r="L5" s="3">
        <f>COUNTIF('01_MASTER_55'!B2:B56,"Complementary")</f>
        <v>26</v>
      </c>
    </row>
    <row r="6" spans="1:12" ht="55.2">
      <c r="A6" s="7" t="s">
        <v>3291</v>
      </c>
      <c r="B6" s="5">
        <v>26</v>
      </c>
      <c r="C6" s="5" t="s">
        <v>3292</v>
      </c>
      <c r="D6" s="5"/>
      <c r="E6" s="7" t="s">
        <v>3293</v>
      </c>
      <c r="F6" s="5">
        <v>3</v>
      </c>
      <c r="G6" s="5" t="s">
        <v>3294</v>
      </c>
      <c r="H6" s="6"/>
    </row>
    <row r="7" spans="1:12" ht="27.6">
      <c r="A7" s="8" t="s">
        <v>3295</v>
      </c>
      <c r="B7" s="2">
        <v>9</v>
      </c>
      <c r="C7" s="2" t="s">
        <v>3296</v>
      </c>
      <c r="D7" s="2"/>
      <c r="E7" s="8" t="s">
        <v>3297</v>
      </c>
      <c r="F7" s="2">
        <v>8</v>
      </c>
      <c r="G7" s="2" t="s">
        <v>3298</v>
      </c>
      <c r="H7" s="3"/>
    </row>
    <row r="9" spans="1:12">
      <c r="A9" s="15" t="s">
        <v>3299</v>
      </c>
      <c r="B9" s="15"/>
      <c r="C9" s="15"/>
      <c r="D9" s="15"/>
      <c r="E9" s="15"/>
      <c r="F9" s="15"/>
      <c r="G9" s="15"/>
      <c r="H9" s="15"/>
    </row>
    <row r="10" spans="1:12">
      <c r="A10" s="1" t="s">
        <v>76</v>
      </c>
      <c r="B10" s="1" t="s">
        <v>77</v>
      </c>
      <c r="C10" s="1" t="s">
        <v>3300</v>
      </c>
      <c r="D10" s="1" t="s">
        <v>2916</v>
      </c>
      <c r="E10" s="1" t="s">
        <v>3301</v>
      </c>
      <c r="F10" s="1" t="s">
        <v>3302</v>
      </c>
      <c r="G10" s="1" t="s">
        <v>695</v>
      </c>
      <c r="H10" s="1" t="s">
        <v>3303</v>
      </c>
    </row>
    <row r="11" spans="1:12" ht="27.6">
      <c r="A11" s="5" t="s">
        <v>96</v>
      </c>
      <c r="B11" s="5" t="s">
        <v>97</v>
      </c>
      <c r="C11" s="5" t="s">
        <v>3304</v>
      </c>
      <c r="D11" s="5" t="s">
        <v>3305</v>
      </c>
      <c r="E11" s="5" t="s">
        <v>3306</v>
      </c>
      <c r="F11" s="5" t="s">
        <v>3307</v>
      </c>
      <c r="G11" s="5" t="s">
        <v>747</v>
      </c>
      <c r="H11" s="6" t="s">
        <v>3308</v>
      </c>
    </row>
    <row r="12" spans="1:12" ht="27.6">
      <c r="A12" s="5" t="s">
        <v>184</v>
      </c>
      <c r="B12" s="5" t="s">
        <v>97</v>
      </c>
      <c r="C12" s="5" t="s">
        <v>3309</v>
      </c>
      <c r="D12" s="5" t="s">
        <v>3310</v>
      </c>
      <c r="E12" s="5" t="s">
        <v>3311</v>
      </c>
      <c r="F12" s="5" t="s">
        <v>3312</v>
      </c>
      <c r="G12" s="5" t="s">
        <v>1387</v>
      </c>
      <c r="H12" s="6" t="s">
        <v>3313</v>
      </c>
    </row>
    <row r="13" spans="1:12" ht="27.6">
      <c r="A13" s="5" t="s">
        <v>224</v>
      </c>
      <c r="B13" s="5" t="s">
        <v>97</v>
      </c>
      <c r="C13" s="5" t="s">
        <v>3314</v>
      </c>
      <c r="D13" s="5" t="s">
        <v>3305</v>
      </c>
      <c r="E13" s="5" t="s">
        <v>3315</v>
      </c>
      <c r="F13" s="5" t="s">
        <v>3316</v>
      </c>
      <c r="G13" s="5" t="s">
        <v>747</v>
      </c>
      <c r="H13" s="6" t="s">
        <v>3308</v>
      </c>
    </row>
    <row r="14" spans="1:12" ht="41.4">
      <c r="A14" s="5" t="s">
        <v>251</v>
      </c>
      <c r="B14" s="5" t="s">
        <v>97</v>
      </c>
      <c r="C14" s="5" t="s">
        <v>3317</v>
      </c>
      <c r="D14" s="5" t="s">
        <v>3305</v>
      </c>
      <c r="E14" s="5" t="s">
        <v>3318</v>
      </c>
      <c r="F14" s="5" t="s">
        <v>3319</v>
      </c>
      <c r="G14" s="5" t="s">
        <v>747</v>
      </c>
      <c r="H14" s="6" t="s">
        <v>3308</v>
      </c>
    </row>
    <row r="15" spans="1:12" ht="27.6">
      <c r="A15" s="5" t="s">
        <v>362</v>
      </c>
      <c r="B15" s="5" t="s">
        <v>97</v>
      </c>
      <c r="C15" s="5" t="s">
        <v>3320</v>
      </c>
      <c r="D15" s="5" t="s">
        <v>3305</v>
      </c>
      <c r="E15" s="5" t="s">
        <v>3321</v>
      </c>
      <c r="F15" s="5" t="s">
        <v>3322</v>
      </c>
      <c r="G15" s="5" t="s">
        <v>747</v>
      </c>
      <c r="H15" s="6" t="s">
        <v>3308</v>
      </c>
    </row>
    <row r="16" spans="1:12" ht="27.6">
      <c r="A16" s="5" t="s">
        <v>509</v>
      </c>
      <c r="B16" s="5" t="s">
        <v>380</v>
      </c>
      <c r="C16" s="5" t="s">
        <v>3323</v>
      </c>
      <c r="D16" s="5" t="s">
        <v>3305</v>
      </c>
      <c r="E16" s="5" t="s">
        <v>3324</v>
      </c>
      <c r="F16" s="5" t="s">
        <v>3325</v>
      </c>
      <c r="G16" s="5" t="s">
        <v>747</v>
      </c>
      <c r="H16" s="6" t="s">
        <v>3326</v>
      </c>
    </row>
    <row r="17" spans="1:8" ht="27.6">
      <c r="A17" s="5" t="s">
        <v>528</v>
      </c>
      <c r="B17" s="5" t="s">
        <v>380</v>
      </c>
      <c r="C17" s="5" t="s">
        <v>3327</v>
      </c>
      <c r="D17" s="5" t="s">
        <v>3305</v>
      </c>
      <c r="E17" s="5" t="s">
        <v>3328</v>
      </c>
      <c r="F17" s="5" t="s">
        <v>3329</v>
      </c>
      <c r="G17" s="5" t="s">
        <v>747</v>
      </c>
      <c r="H17" s="6" t="s">
        <v>3326</v>
      </c>
    </row>
    <row r="18" spans="1:8" ht="27.6">
      <c r="A18" s="2" t="s">
        <v>548</v>
      </c>
      <c r="B18" s="2" t="s">
        <v>380</v>
      </c>
      <c r="C18" s="2" t="s">
        <v>3330</v>
      </c>
      <c r="D18" s="2" t="s">
        <v>3331</v>
      </c>
      <c r="E18" s="2" t="s">
        <v>3332</v>
      </c>
      <c r="F18" s="2" t="s">
        <v>3333</v>
      </c>
      <c r="G18" s="2" t="s">
        <v>747</v>
      </c>
      <c r="H18" s="3" t="s">
        <v>3334</v>
      </c>
    </row>
  </sheetData>
  <mergeCells count="2">
    <mergeCell ref="A1:H1"/>
    <mergeCell ref="A9:H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8"/>
  <sheetViews>
    <sheetView workbookViewId="0"/>
  </sheetViews>
  <sheetFormatPr baseColWidth="10" defaultColWidth="8.796875" defaultRowHeight="13.8"/>
  <cols>
    <col min="1" max="1" width="10" customWidth="1"/>
    <col min="2" max="2" width="24" customWidth="1"/>
    <col min="3" max="3" width="18" customWidth="1"/>
    <col min="4" max="4" width="34" customWidth="1"/>
    <col min="5" max="5" width="28" customWidth="1"/>
    <col min="6" max="6" width="38" customWidth="1"/>
    <col min="7" max="7" width="14" customWidth="1"/>
  </cols>
  <sheetData>
    <row r="1" spans="1:7" ht="24" customHeight="1">
      <c r="A1" s="16" t="s">
        <v>3335</v>
      </c>
      <c r="B1" s="16"/>
      <c r="C1" s="16"/>
      <c r="D1" s="16"/>
      <c r="E1" s="16"/>
      <c r="F1" s="16"/>
      <c r="G1" s="16"/>
    </row>
    <row r="2" spans="1:7" ht="14.4">
      <c r="A2" s="9"/>
      <c r="B2" s="9"/>
      <c r="C2" s="9"/>
      <c r="D2" s="9"/>
      <c r="E2" s="9"/>
      <c r="F2" s="9"/>
      <c r="G2" s="9"/>
    </row>
    <row r="3" spans="1:7" ht="14.4">
      <c r="A3" s="10" t="s">
        <v>3279</v>
      </c>
      <c r="B3" s="10" t="s">
        <v>3280</v>
      </c>
      <c r="C3" s="10" t="s">
        <v>3281</v>
      </c>
      <c r="D3" s="10"/>
      <c r="E3" s="10" t="s">
        <v>3279</v>
      </c>
      <c r="F3" s="10" t="s">
        <v>3280</v>
      </c>
      <c r="G3" s="10" t="s">
        <v>3281</v>
      </c>
    </row>
    <row r="4" spans="1:7" ht="41.55" customHeight="1">
      <c r="A4" s="11" t="s">
        <v>3336</v>
      </c>
      <c r="B4" s="11">
        <v>8</v>
      </c>
      <c r="C4" s="11" t="s">
        <v>3337</v>
      </c>
      <c r="D4" s="12"/>
      <c r="E4" s="11" t="s">
        <v>3295</v>
      </c>
      <c r="F4" s="11">
        <v>9</v>
      </c>
      <c r="G4" s="11" t="s">
        <v>3338</v>
      </c>
    </row>
    <row r="5" spans="1:7" ht="41.55" customHeight="1">
      <c r="A5" s="11" t="s">
        <v>3339</v>
      </c>
      <c r="B5" s="11">
        <v>13</v>
      </c>
      <c r="C5" s="11" t="s">
        <v>3340</v>
      </c>
      <c r="D5" s="12"/>
      <c r="E5" s="11" t="s">
        <v>3341</v>
      </c>
      <c r="F5" s="11">
        <v>4</v>
      </c>
      <c r="G5" s="11" t="s">
        <v>3342</v>
      </c>
    </row>
    <row r="6" spans="1:7" ht="41.55" customHeight="1">
      <c r="A6" s="11" t="s">
        <v>3343</v>
      </c>
      <c r="B6" s="11">
        <v>16</v>
      </c>
      <c r="C6" s="11" t="s">
        <v>3344</v>
      </c>
      <c r="D6" s="12"/>
      <c r="E6" s="11" t="s">
        <v>3345</v>
      </c>
      <c r="F6" s="11">
        <v>3</v>
      </c>
      <c r="G6" s="11" t="s">
        <v>3346</v>
      </c>
    </row>
    <row r="7" spans="1:7" ht="14.4">
      <c r="A7" s="9"/>
      <c r="B7" s="9"/>
      <c r="C7" s="9"/>
      <c r="D7" s="9"/>
      <c r="E7" s="9"/>
      <c r="F7" s="9"/>
      <c r="G7" s="9"/>
    </row>
    <row r="8" spans="1:7" ht="14.4">
      <c r="A8" s="17" t="s">
        <v>3347</v>
      </c>
      <c r="B8" s="17"/>
      <c r="C8" s="17"/>
      <c r="D8" s="17"/>
      <c r="E8" s="17"/>
      <c r="F8" s="17"/>
      <c r="G8" s="17"/>
    </row>
    <row r="9" spans="1:7" ht="14.4">
      <c r="A9" s="9"/>
      <c r="B9" s="9"/>
      <c r="C9" s="9"/>
      <c r="D9" s="9"/>
      <c r="E9" s="9"/>
      <c r="F9" s="9"/>
      <c r="G9" s="9"/>
    </row>
    <row r="10" spans="1:7" ht="14.4">
      <c r="A10" s="10" t="s">
        <v>76</v>
      </c>
      <c r="B10" s="10" t="s">
        <v>2916</v>
      </c>
      <c r="C10" s="10" t="s">
        <v>3348</v>
      </c>
      <c r="D10" s="10" t="s">
        <v>3349</v>
      </c>
      <c r="E10" s="10" t="s">
        <v>3350</v>
      </c>
      <c r="F10" s="10" t="s">
        <v>3351</v>
      </c>
      <c r="G10" s="10" t="s">
        <v>695</v>
      </c>
    </row>
    <row r="11" spans="1:7" ht="49.65" customHeight="1">
      <c r="A11" s="12" t="s">
        <v>117</v>
      </c>
      <c r="B11" s="12" t="s">
        <v>3310</v>
      </c>
      <c r="C11" s="12" t="s">
        <v>99</v>
      </c>
      <c r="D11" s="12" t="s">
        <v>3352</v>
      </c>
      <c r="E11" s="12" t="s">
        <v>3353</v>
      </c>
      <c r="F11" s="12" t="s">
        <v>3354</v>
      </c>
      <c r="G11" s="12" t="s">
        <v>747</v>
      </c>
    </row>
    <row r="12" spans="1:7" ht="49.65" customHeight="1">
      <c r="A12" s="12" t="s">
        <v>129</v>
      </c>
      <c r="B12" s="12" t="s">
        <v>3305</v>
      </c>
      <c r="C12" s="12" t="s">
        <v>99</v>
      </c>
      <c r="D12" s="12" t="s">
        <v>3355</v>
      </c>
      <c r="E12" s="12" t="s">
        <v>3356</v>
      </c>
      <c r="F12" s="12" t="s">
        <v>3357</v>
      </c>
      <c r="G12" s="12" t="s">
        <v>747</v>
      </c>
    </row>
    <row r="13" spans="1:7" ht="49.65" customHeight="1">
      <c r="A13" s="12" t="s">
        <v>138</v>
      </c>
      <c r="B13" s="12" t="s">
        <v>3358</v>
      </c>
      <c r="C13" s="12" t="s">
        <v>871</v>
      </c>
      <c r="D13" s="12" t="s">
        <v>3359</v>
      </c>
      <c r="E13" s="12" t="s">
        <v>2446</v>
      </c>
      <c r="F13" s="12" t="s">
        <v>3360</v>
      </c>
      <c r="G13" s="12" t="s">
        <v>2324</v>
      </c>
    </row>
    <row r="14" spans="1:7" ht="49.65" customHeight="1">
      <c r="A14" s="12" t="s">
        <v>147</v>
      </c>
      <c r="B14" s="12" t="s">
        <v>3361</v>
      </c>
      <c r="C14" s="12" t="s">
        <v>108</v>
      </c>
      <c r="D14" s="12" t="s">
        <v>3362</v>
      </c>
      <c r="E14" s="12" t="s">
        <v>3363</v>
      </c>
      <c r="F14" s="12" t="s">
        <v>3364</v>
      </c>
      <c r="G14" s="12" t="s">
        <v>747</v>
      </c>
    </row>
    <row r="15" spans="1:7" ht="49.65" customHeight="1">
      <c r="A15" s="12" t="s">
        <v>156</v>
      </c>
      <c r="B15" s="12" t="s">
        <v>3305</v>
      </c>
      <c r="C15" s="12" t="s">
        <v>99</v>
      </c>
      <c r="D15" s="12" t="s">
        <v>3365</v>
      </c>
      <c r="E15" s="12" t="s">
        <v>2449</v>
      </c>
      <c r="F15" s="12" t="s">
        <v>3366</v>
      </c>
      <c r="G15" s="12" t="s">
        <v>747</v>
      </c>
    </row>
    <row r="16" spans="1:7" ht="49.65" customHeight="1">
      <c r="A16" s="12" t="s">
        <v>165</v>
      </c>
      <c r="B16" s="12" t="s">
        <v>3367</v>
      </c>
      <c r="C16" s="12" t="s">
        <v>108</v>
      </c>
      <c r="D16" s="12" t="s">
        <v>3368</v>
      </c>
      <c r="E16" s="12" t="s">
        <v>3369</v>
      </c>
      <c r="F16" s="12" t="s">
        <v>3370</v>
      </c>
      <c r="G16" s="12" t="s">
        <v>1387</v>
      </c>
    </row>
    <row r="17" spans="1:7" ht="49.65" customHeight="1">
      <c r="A17" s="12" t="s">
        <v>175</v>
      </c>
      <c r="B17" s="12" t="s">
        <v>3305</v>
      </c>
      <c r="C17" s="12" t="s">
        <v>99</v>
      </c>
      <c r="D17" s="12" t="s">
        <v>3371</v>
      </c>
      <c r="E17" s="12" t="s">
        <v>3372</v>
      </c>
      <c r="F17" s="12" t="s">
        <v>3373</v>
      </c>
      <c r="G17" s="12" t="s">
        <v>747</v>
      </c>
    </row>
    <row r="18" spans="1:7" ht="49.65" customHeight="1">
      <c r="A18" s="12" t="s">
        <v>193</v>
      </c>
      <c r="B18" s="12" t="s">
        <v>1151</v>
      </c>
      <c r="C18" s="12" t="s">
        <v>108</v>
      </c>
      <c r="D18" s="12" t="s">
        <v>3374</v>
      </c>
      <c r="E18" s="12" t="s">
        <v>3375</v>
      </c>
      <c r="F18" s="12" t="s">
        <v>3376</v>
      </c>
      <c r="G18" s="12" t="s">
        <v>747</v>
      </c>
    </row>
  </sheetData>
  <mergeCells count="2">
    <mergeCell ref="A1:G1"/>
    <mergeCell ref="A8:G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9"/>
  <sheetViews>
    <sheetView workbookViewId="0"/>
  </sheetViews>
  <sheetFormatPr baseColWidth="10" defaultColWidth="8.796875" defaultRowHeight="13.8"/>
  <cols>
    <col min="1" max="1" width="16" customWidth="1"/>
    <col min="2" max="2" width="24" customWidth="1"/>
    <col min="3" max="3" width="18" customWidth="1"/>
    <col min="4" max="4" width="42" customWidth="1"/>
    <col min="5" max="5" width="28" customWidth="1"/>
    <col min="6" max="6" width="40" customWidth="1"/>
    <col min="7" max="7" width="14" customWidth="1"/>
  </cols>
  <sheetData>
    <row r="1" spans="1:7" ht="69">
      <c r="A1" s="13" t="s">
        <v>3377</v>
      </c>
      <c r="B1" s="13"/>
      <c r="C1" s="13"/>
      <c r="D1" s="13"/>
      <c r="E1" s="13"/>
      <c r="F1" s="13"/>
      <c r="G1" s="13"/>
    </row>
    <row r="2" spans="1:7">
      <c r="A2" s="13"/>
      <c r="B2" s="13"/>
      <c r="C2" s="13"/>
      <c r="D2" s="13"/>
      <c r="E2" s="13"/>
      <c r="F2" s="13"/>
      <c r="G2" s="13"/>
    </row>
    <row r="3" spans="1:7">
      <c r="A3" s="13" t="s">
        <v>3279</v>
      </c>
      <c r="B3" s="13" t="s">
        <v>3280</v>
      </c>
      <c r="C3" s="13" t="s">
        <v>3281</v>
      </c>
      <c r="D3" s="13"/>
      <c r="E3" s="13" t="s">
        <v>3279</v>
      </c>
      <c r="F3" s="13" t="s">
        <v>3280</v>
      </c>
      <c r="G3" s="13" t="s">
        <v>3281</v>
      </c>
    </row>
    <row r="4" spans="1:7" ht="27.6">
      <c r="A4" s="13" t="s">
        <v>3378</v>
      </c>
      <c r="B4" s="13">
        <v>7</v>
      </c>
      <c r="C4" s="13" t="s">
        <v>3379</v>
      </c>
      <c r="D4" s="13"/>
      <c r="E4" s="13" t="s">
        <v>3380</v>
      </c>
      <c r="F4" s="13">
        <v>20</v>
      </c>
      <c r="G4" s="13" t="s">
        <v>3381</v>
      </c>
    </row>
    <row r="5" spans="1:7" ht="41.4">
      <c r="A5" s="13" t="s">
        <v>3382</v>
      </c>
      <c r="B5" s="13">
        <v>1</v>
      </c>
      <c r="C5" s="13" t="s">
        <v>3383</v>
      </c>
      <c r="D5" s="13"/>
      <c r="E5" s="13" t="s">
        <v>3384</v>
      </c>
      <c r="F5" s="13">
        <v>8</v>
      </c>
      <c r="G5" s="13" t="s">
        <v>3385</v>
      </c>
    </row>
    <row r="6" spans="1:7" ht="55.2">
      <c r="A6" s="13" t="s">
        <v>3386</v>
      </c>
      <c r="B6" s="13">
        <v>4</v>
      </c>
      <c r="C6" s="13" t="s">
        <v>3387</v>
      </c>
      <c r="D6" s="13"/>
      <c r="E6" s="13" t="s">
        <v>3388</v>
      </c>
      <c r="F6" s="13">
        <v>4</v>
      </c>
      <c r="G6" s="13" t="s">
        <v>3389</v>
      </c>
    </row>
    <row r="7" spans="1:7">
      <c r="A7" s="13"/>
      <c r="B7" s="13"/>
      <c r="C7" s="13"/>
      <c r="D7" s="13"/>
      <c r="E7" s="13"/>
      <c r="F7" s="13"/>
      <c r="G7" s="13"/>
    </row>
    <row r="8" spans="1:7" ht="27.6">
      <c r="A8" s="13" t="s">
        <v>3390</v>
      </c>
      <c r="B8" s="13"/>
      <c r="C8" s="13"/>
      <c r="D8" s="13"/>
      <c r="E8" s="13"/>
      <c r="F8" s="13"/>
      <c r="G8" s="13"/>
    </row>
    <row r="9" spans="1:7">
      <c r="A9" s="13"/>
      <c r="B9" s="13"/>
      <c r="C9" s="13"/>
      <c r="D9" s="13"/>
      <c r="E9" s="13"/>
      <c r="F9" s="13"/>
      <c r="G9" s="13"/>
    </row>
    <row r="10" spans="1:7" ht="38.4" customHeight="1">
      <c r="A10" s="13" t="s">
        <v>76</v>
      </c>
      <c r="B10" s="13" t="s">
        <v>2916</v>
      </c>
      <c r="C10" s="13" t="s">
        <v>3348</v>
      </c>
      <c r="D10" s="13" t="s">
        <v>3349</v>
      </c>
      <c r="E10" s="13" t="s">
        <v>3350</v>
      </c>
      <c r="F10" s="13" t="s">
        <v>3351</v>
      </c>
      <c r="G10" s="13" t="s">
        <v>695</v>
      </c>
    </row>
    <row r="11" spans="1:7" ht="38.4" customHeight="1">
      <c r="A11" s="13" t="s">
        <v>203</v>
      </c>
      <c r="B11" s="13" t="s">
        <v>1193</v>
      </c>
      <c r="C11" s="13" t="s">
        <v>99</v>
      </c>
      <c r="D11" s="13" t="s">
        <v>3391</v>
      </c>
      <c r="E11" s="13" t="s">
        <v>3392</v>
      </c>
      <c r="F11" s="13" t="s">
        <v>3393</v>
      </c>
      <c r="G11" s="13" t="s">
        <v>747</v>
      </c>
    </row>
    <row r="12" spans="1:7" ht="38.4" customHeight="1">
      <c r="A12" s="13" t="s">
        <v>212</v>
      </c>
      <c r="B12" s="13" t="s">
        <v>3394</v>
      </c>
      <c r="C12" s="13" t="s">
        <v>871</v>
      </c>
      <c r="D12" s="13" t="s">
        <v>3395</v>
      </c>
      <c r="E12" s="13" t="s">
        <v>3396</v>
      </c>
      <c r="F12" s="13" t="s">
        <v>3397</v>
      </c>
      <c r="G12" s="13" t="s">
        <v>1242</v>
      </c>
    </row>
    <row r="13" spans="1:7" ht="38.4" customHeight="1">
      <c r="A13" s="13" t="s">
        <v>234</v>
      </c>
      <c r="B13" s="13" t="s">
        <v>3398</v>
      </c>
      <c r="C13" s="13" t="s">
        <v>3399</v>
      </c>
      <c r="D13" s="13" t="s">
        <v>3400</v>
      </c>
      <c r="E13" s="13" t="s">
        <v>2449</v>
      </c>
      <c r="F13" s="13" t="s">
        <v>3401</v>
      </c>
      <c r="G13" s="13" t="s">
        <v>1340</v>
      </c>
    </row>
    <row r="14" spans="1:7" ht="38.4" customHeight="1">
      <c r="A14" s="13" t="s">
        <v>243</v>
      </c>
      <c r="B14" s="13" t="s">
        <v>3402</v>
      </c>
      <c r="C14" s="13" t="s">
        <v>99</v>
      </c>
      <c r="D14" s="13" t="s">
        <v>3403</v>
      </c>
      <c r="E14" s="13" t="s">
        <v>2449</v>
      </c>
      <c r="F14" s="13" t="s">
        <v>3404</v>
      </c>
      <c r="G14" s="13" t="s">
        <v>1387</v>
      </c>
    </row>
    <row r="15" spans="1:7" ht="38.4" customHeight="1">
      <c r="A15" s="13" t="s">
        <v>259</v>
      </c>
      <c r="B15" s="13" t="s">
        <v>3405</v>
      </c>
      <c r="C15" s="13" t="s">
        <v>3406</v>
      </c>
      <c r="D15" s="13" t="s">
        <v>3407</v>
      </c>
      <c r="E15" s="13" t="s">
        <v>2446</v>
      </c>
      <c r="F15" s="13" t="s">
        <v>3408</v>
      </c>
      <c r="G15" s="13" t="s">
        <v>1242</v>
      </c>
    </row>
    <row r="16" spans="1:7" ht="38.4" customHeight="1">
      <c r="A16" s="13" t="s">
        <v>270</v>
      </c>
      <c r="B16" s="13" t="s">
        <v>1511</v>
      </c>
      <c r="C16" s="13" t="s">
        <v>3409</v>
      </c>
      <c r="D16" s="13" t="s">
        <v>3410</v>
      </c>
      <c r="E16" s="13" t="s">
        <v>2449</v>
      </c>
      <c r="F16" s="13" t="s">
        <v>3411</v>
      </c>
      <c r="G16" s="13" t="s">
        <v>747</v>
      </c>
    </row>
    <row r="17" spans="1:7" ht="38.4" customHeight="1">
      <c r="A17" s="13" t="s">
        <v>279</v>
      </c>
      <c r="B17" s="13" t="s">
        <v>3412</v>
      </c>
      <c r="C17" s="13" t="s">
        <v>108</v>
      </c>
      <c r="D17" s="13" t="s">
        <v>3413</v>
      </c>
      <c r="E17" s="13" t="s">
        <v>3414</v>
      </c>
      <c r="F17" s="13" t="s">
        <v>3415</v>
      </c>
      <c r="G17" s="13" t="s">
        <v>747</v>
      </c>
    </row>
    <row r="18" spans="1:7" ht="38.4" customHeight="1">
      <c r="A18" s="13" t="s">
        <v>291</v>
      </c>
      <c r="B18" s="13" t="s">
        <v>3416</v>
      </c>
      <c r="C18" s="13" t="s">
        <v>3406</v>
      </c>
      <c r="D18" s="13" t="s">
        <v>3417</v>
      </c>
      <c r="E18" s="13" t="s">
        <v>2446</v>
      </c>
      <c r="F18" s="13" t="s">
        <v>3418</v>
      </c>
      <c r="G18" s="13" t="s">
        <v>1242</v>
      </c>
    </row>
    <row r="19" spans="1:7">
      <c r="A19" s="13"/>
      <c r="B19" s="13"/>
      <c r="C19" s="13"/>
      <c r="D19" s="13"/>
      <c r="E19" s="13"/>
      <c r="F19" s="13"/>
      <c r="G19" s="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9"/>
  <sheetViews>
    <sheetView workbookViewId="0"/>
  </sheetViews>
  <sheetFormatPr baseColWidth="10" defaultColWidth="8.796875" defaultRowHeight="13.8"/>
  <cols>
    <col min="1" max="1" width="16" customWidth="1"/>
    <col min="2" max="2" width="25" customWidth="1"/>
    <col min="3" max="3" width="20" customWidth="1"/>
    <col min="4" max="4" width="42" customWidth="1"/>
    <col min="5" max="5" width="28" customWidth="1"/>
    <col min="6" max="6" width="42" customWidth="1"/>
    <col min="7" max="7" width="15" customWidth="1"/>
  </cols>
  <sheetData>
    <row r="1" spans="1:7" ht="69">
      <c r="A1" s="13" t="s">
        <v>3419</v>
      </c>
      <c r="B1" s="13"/>
      <c r="C1" s="13"/>
      <c r="D1" s="13"/>
      <c r="E1" s="13"/>
      <c r="F1" s="13"/>
      <c r="G1" s="13"/>
    </row>
    <row r="2" spans="1:7">
      <c r="A2" s="13"/>
      <c r="B2" s="13"/>
      <c r="C2" s="13"/>
      <c r="D2" s="13"/>
      <c r="E2" s="13"/>
      <c r="F2" s="13"/>
      <c r="G2" s="13"/>
    </row>
    <row r="3" spans="1:7">
      <c r="A3" s="13" t="s">
        <v>3279</v>
      </c>
      <c r="B3" s="13" t="s">
        <v>3280</v>
      </c>
      <c r="C3" s="13" t="s">
        <v>3281</v>
      </c>
      <c r="D3" s="13"/>
      <c r="E3" s="13" t="s">
        <v>3279</v>
      </c>
      <c r="F3" s="13" t="s">
        <v>3280</v>
      </c>
      <c r="G3" s="13" t="s">
        <v>3281</v>
      </c>
    </row>
    <row r="4" spans="1:7" ht="41.4">
      <c r="A4" s="13" t="s">
        <v>3420</v>
      </c>
      <c r="B4" s="13">
        <v>8</v>
      </c>
      <c r="C4" s="13" t="s">
        <v>3421</v>
      </c>
      <c r="D4" s="13"/>
      <c r="E4" s="13" t="s">
        <v>3339</v>
      </c>
      <c r="F4" s="13">
        <v>28</v>
      </c>
      <c r="G4" s="13" t="s">
        <v>3422</v>
      </c>
    </row>
    <row r="5" spans="1:7" ht="41.4">
      <c r="A5" s="13" t="s">
        <v>3423</v>
      </c>
      <c r="B5" s="13">
        <v>1</v>
      </c>
      <c r="C5" s="13" t="s">
        <v>3424</v>
      </c>
      <c r="D5" s="13"/>
      <c r="E5" s="13" t="s">
        <v>3425</v>
      </c>
      <c r="F5" s="13">
        <v>29</v>
      </c>
      <c r="G5" s="13" t="s">
        <v>3426</v>
      </c>
    </row>
    <row r="6" spans="1:7" ht="69">
      <c r="A6" s="13" t="s">
        <v>3427</v>
      </c>
      <c r="B6" s="13">
        <v>4</v>
      </c>
      <c r="C6" s="13" t="s">
        <v>3428</v>
      </c>
      <c r="D6" s="13"/>
      <c r="E6" s="13" t="s">
        <v>3429</v>
      </c>
      <c r="F6" s="13">
        <v>4</v>
      </c>
      <c r="G6" s="13" t="s">
        <v>3430</v>
      </c>
    </row>
    <row r="7" spans="1:7">
      <c r="A7" s="13"/>
      <c r="B7" s="13"/>
      <c r="C7" s="13"/>
      <c r="D7" s="13"/>
      <c r="E7" s="13"/>
      <c r="F7" s="13"/>
      <c r="G7" s="13"/>
    </row>
    <row r="8" spans="1:7" ht="27.6">
      <c r="A8" s="13" t="s">
        <v>3431</v>
      </c>
      <c r="B8" s="13"/>
      <c r="C8" s="13"/>
      <c r="D8" s="13"/>
      <c r="E8" s="13"/>
      <c r="F8" s="13"/>
      <c r="G8" s="13"/>
    </row>
    <row r="9" spans="1:7">
      <c r="A9" s="13"/>
      <c r="B9" s="13"/>
      <c r="C9" s="13"/>
      <c r="D9" s="13"/>
      <c r="E9" s="13"/>
      <c r="F9" s="13"/>
      <c r="G9" s="13"/>
    </row>
    <row r="10" spans="1:7" ht="40.049999999999997" customHeight="1">
      <c r="A10" s="13" t="s">
        <v>76</v>
      </c>
      <c r="B10" s="13" t="s">
        <v>2916</v>
      </c>
      <c r="C10" s="13" t="s">
        <v>3348</v>
      </c>
      <c r="D10" s="13" t="s">
        <v>3349</v>
      </c>
      <c r="E10" s="13" t="s">
        <v>3350</v>
      </c>
      <c r="F10" s="13" t="s">
        <v>3351</v>
      </c>
      <c r="G10" s="13" t="s">
        <v>695</v>
      </c>
    </row>
    <row r="11" spans="1:7" ht="40.049999999999997" customHeight="1">
      <c r="A11" s="13" t="s">
        <v>299</v>
      </c>
      <c r="B11" s="13" t="s">
        <v>3432</v>
      </c>
      <c r="C11" s="13" t="s">
        <v>3433</v>
      </c>
      <c r="D11" s="13" t="s">
        <v>3434</v>
      </c>
      <c r="E11" s="13" t="s">
        <v>3435</v>
      </c>
      <c r="F11" s="13" t="s">
        <v>3436</v>
      </c>
      <c r="G11" s="13" t="s">
        <v>1387</v>
      </c>
    </row>
    <row r="12" spans="1:7" ht="40.049999999999997" customHeight="1">
      <c r="A12" s="13" t="s">
        <v>308</v>
      </c>
      <c r="B12" s="13" t="s">
        <v>3437</v>
      </c>
      <c r="C12" s="13" t="s">
        <v>3406</v>
      </c>
      <c r="D12" s="13" t="s">
        <v>3438</v>
      </c>
      <c r="E12" s="13" t="s">
        <v>2446</v>
      </c>
      <c r="F12" s="13" t="s">
        <v>3439</v>
      </c>
      <c r="G12" s="13" t="s">
        <v>1242</v>
      </c>
    </row>
    <row r="13" spans="1:7" ht="40.049999999999997" customHeight="1">
      <c r="A13" s="13" t="s">
        <v>317</v>
      </c>
      <c r="B13" s="13" t="s">
        <v>1729</v>
      </c>
      <c r="C13" s="13" t="s">
        <v>108</v>
      </c>
      <c r="D13" s="13" t="s">
        <v>3440</v>
      </c>
      <c r="E13" s="13" t="s">
        <v>3441</v>
      </c>
      <c r="F13" s="13" t="s">
        <v>3442</v>
      </c>
      <c r="G13" s="13" t="s">
        <v>747</v>
      </c>
    </row>
    <row r="14" spans="1:7" ht="40.049999999999997" customHeight="1">
      <c r="A14" s="13" t="s">
        <v>325</v>
      </c>
      <c r="B14" s="13" t="s">
        <v>3443</v>
      </c>
      <c r="C14" s="13" t="s">
        <v>3444</v>
      </c>
      <c r="D14" s="13" t="s">
        <v>3445</v>
      </c>
      <c r="E14" s="13" t="s">
        <v>2449</v>
      </c>
      <c r="F14" s="13" t="s">
        <v>3446</v>
      </c>
      <c r="G14" s="13" t="s">
        <v>1791</v>
      </c>
    </row>
    <row r="15" spans="1:7" ht="40.049999999999997" customHeight="1">
      <c r="A15" s="13" t="s">
        <v>334</v>
      </c>
      <c r="B15" s="13" t="s">
        <v>3447</v>
      </c>
      <c r="C15" s="13" t="s">
        <v>108</v>
      </c>
      <c r="D15" s="13" t="s">
        <v>3448</v>
      </c>
      <c r="E15" s="13" t="s">
        <v>3449</v>
      </c>
      <c r="F15" s="13" t="s">
        <v>3450</v>
      </c>
      <c r="G15" s="13" t="s">
        <v>747</v>
      </c>
    </row>
    <row r="16" spans="1:7" ht="40.049999999999997" customHeight="1">
      <c r="A16" s="13" t="s">
        <v>345</v>
      </c>
      <c r="B16" s="13" t="s">
        <v>3451</v>
      </c>
      <c r="C16" s="13" t="s">
        <v>3452</v>
      </c>
      <c r="D16" s="13" t="s">
        <v>3453</v>
      </c>
      <c r="E16" s="13" t="s">
        <v>3454</v>
      </c>
      <c r="F16" s="13" t="s">
        <v>3455</v>
      </c>
      <c r="G16" s="13" t="s">
        <v>747</v>
      </c>
    </row>
    <row r="17" spans="1:7" ht="40.049999999999997" customHeight="1">
      <c r="A17" s="13" t="s">
        <v>353</v>
      </c>
      <c r="B17" s="13" t="s">
        <v>3456</v>
      </c>
      <c r="C17" s="13" t="s">
        <v>871</v>
      </c>
      <c r="D17" s="13" t="s">
        <v>3457</v>
      </c>
      <c r="E17" s="13" t="s">
        <v>2446</v>
      </c>
      <c r="F17" s="13" t="s">
        <v>3458</v>
      </c>
      <c r="G17" s="13" t="s">
        <v>1242</v>
      </c>
    </row>
    <row r="18" spans="1:7" ht="40.049999999999997" customHeight="1">
      <c r="A18" s="13" t="s">
        <v>371</v>
      </c>
      <c r="B18" s="13" t="s">
        <v>3459</v>
      </c>
      <c r="C18" s="13" t="s">
        <v>1991</v>
      </c>
      <c r="D18" s="13" t="s">
        <v>3460</v>
      </c>
      <c r="E18" s="13" t="s">
        <v>2449</v>
      </c>
      <c r="F18" s="13" t="s">
        <v>3461</v>
      </c>
      <c r="G18" s="13" t="s">
        <v>747</v>
      </c>
    </row>
    <row r="19" spans="1:7">
      <c r="A19" s="13"/>
      <c r="B19" s="13"/>
      <c r="C19" s="13"/>
      <c r="D19" s="13"/>
      <c r="E19" s="13"/>
      <c r="F19" s="13"/>
      <c r="G19" s="1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8"/>
  <sheetViews>
    <sheetView workbookViewId="0"/>
  </sheetViews>
  <sheetFormatPr baseColWidth="10" defaultColWidth="8.796875" defaultRowHeight="13.8"/>
  <cols>
    <col min="1" max="1" width="15" customWidth="1"/>
    <col min="2" max="2" width="24" customWidth="1"/>
    <col min="3" max="3" width="22" customWidth="1"/>
    <col min="4" max="4" width="42" customWidth="1"/>
    <col min="5" max="5" width="26" customWidth="1"/>
    <col min="6" max="6" width="40" customWidth="1"/>
    <col min="7" max="7" width="15" customWidth="1"/>
  </cols>
  <sheetData>
    <row r="1" spans="1:7" ht="96.6">
      <c r="A1" s="13" t="s">
        <v>3462</v>
      </c>
      <c r="B1" s="13"/>
      <c r="C1" s="13"/>
      <c r="D1" s="13"/>
      <c r="E1" s="13"/>
      <c r="F1" s="13"/>
      <c r="G1" s="13"/>
    </row>
    <row r="2" spans="1:7">
      <c r="A2" s="13"/>
      <c r="B2" s="13"/>
      <c r="C2" s="13"/>
      <c r="D2" s="13"/>
      <c r="E2" s="13"/>
      <c r="F2" s="13"/>
      <c r="G2" s="13"/>
    </row>
    <row r="3" spans="1:7">
      <c r="A3" s="13" t="s">
        <v>3279</v>
      </c>
      <c r="B3" s="13" t="s">
        <v>3280</v>
      </c>
      <c r="C3" s="13" t="s">
        <v>3281</v>
      </c>
      <c r="D3" s="13"/>
      <c r="E3" s="13" t="s">
        <v>3279</v>
      </c>
      <c r="F3" s="13" t="s">
        <v>3280</v>
      </c>
      <c r="G3" s="13" t="s">
        <v>3281</v>
      </c>
    </row>
    <row r="4" spans="1:7" ht="27.6">
      <c r="A4" s="13" t="s">
        <v>3463</v>
      </c>
      <c r="B4" s="13">
        <v>6</v>
      </c>
      <c r="C4" s="13" t="s">
        <v>3464</v>
      </c>
      <c r="D4" s="13"/>
      <c r="E4" s="13" t="s">
        <v>3465</v>
      </c>
      <c r="F4" s="13">
        <v>9</v>
      </c>
      <c r="G4" s="13" t="s">
        <v>3466</v>
      </c>
    </row>
    <row r="5" spans="1:7" ht="69">
      <c r="A5" s="13" t="s">
        <v>3467</v>
      </c>
      <c r="B5" s="13">
        <v>17</v>
      </c>
      <c r="C5" s="13" t="s">
        <v>3468</v>
      </c>
      <c r="D5" s="13"/>
      <c r="E5" s="13" t="s">
        <v>3469</v>
      </c>
      <c r="F5" s="13">
        <v>2</v>
      </c>
      <c r="G5" s="13" t="s">
        <v>3470</v>
      </c>
    </row>
    <row r="6" spans="1:7" ht="82.8">
      <c r="A6" s="13" t="s">
        <v>3471</v>
      </c>
      <c r="B6" s="13">
        <v>3</v>
      </c>
      <c r="C6" s="13" t="s">
        <v>3472</v>
      </c>
      <c r="D6" s="13"/>
      <c r="E6" s="13" t="s">
        <v>3473</v>
      </c>
      <c r="F6" s="13">
        <v>3</v>
      </c>
      <c r="G6" s="13" t="s">
        <v>3474</v>
      </c>
    </row>
    <row r="7" spans="1:7">
      <c r="A7" s="13"/>
      <c r="B7" s="13"/>
      <c r="C7" s="13"/>
      <c r="D7" s="13"/>
      <c r="E7" s="13"/>
      <c r="F7" s="13"/>
      <c r="G7" s="13"/>
    </row>
    <row r="8" spans="1:7" ht="41.4">
      <c r="A8" s="13" t="s">
        <v>3475</v>
      </c>
      <c r="B8" s="13"/>
      <c r="C8" s="13"/>
      <c r="D8" s="13"/>
      <c r="E8" s="13"/>
      <c r="F8" s="13"/>
      <c r="G8" s="13"/>
    </row>
    <row r="9" spans="1:7">
      <c r="A9" s="13"/>
      <c r="B9" s="13"/>
      <c r="C9" s="13"/>
      <c r="D9" s="13"/>
      <c r="E9" s="13"/>
      <c r="F9" s="13"/>
      <c r="G9" s="13"/>
    </row>
    <row r="10" spans="1:7" ht="41.55" customHeight="1">
      <c r="A10" s="13" t="s">
        <v>76</v>
      </c>
      <c r="B10" s="13" t="s">
        <v>2916</v>
      </c>
      <c r="C10" s="13" t="s">
        <v>639</v>
      </c>
      <c r="D10" s="13" t="s">
        <v>3476</v>
      </c>
      <c r="E10" s="13" t="s">
        <v>2424</v>
      </c>
      <c r="F10" s="13" t="s">
        <v>3351</v>
      </c>
      <c r="G10" s="13" t="s">
        <v>695</v>
      </c>
    </row>
    <row r="11" spans="1:7" ht="41.55" customHeight="1">
      <c r="A11" s="13" t="s">
        <v>394</v>
      </c>
      <c r="B11" s="13" t="s">
        <v>3477</v>
      </c>
      <c r="C11" s="13" t="s">
        <v>3478</v>
      </c>
      <c r="D11" s="13" t="s">
        <v>3479</v>
      </c>
      <c r="E11" s="13" t="s">
        <v>3480</v>
      </c>
      <c r="F11" s="13" t="s">
        <v>3481</v>
      </c>
      <c r="G11" s="13" t="s">
        <v>747</v>
      </c>
    </row>
    <row r="12" spans="1:7" ht="41.55" customHeight="1">
      <c r="A12" s="13" t="s">
        <v>404</v>
      </c>
      <c r="B12" s="13" t="s">
        <v>3482</v>
      </c>
      <c r="C12" s="13" t="s">
        <v>3483</v>
      </c>
      <c r="D12" s="13" t="s">
        <v>3484</v>
      </c>
      <c r="E12" s="13" t="s">
        <v>3485</v>
      </c>
      <c r="F12" s="13" t="s">
        <v>3486</v>
      </c>
      <c r="G12" s="13" t="s">
        <v>747</v>
      </c>
    </row>
    <row r="13" spans="1:7" ht="41.55" customHeight="1">
      <c r="A13" s="13" t="s">
        <v>452</v>
      </c>
      <c r="B13" s="13" t="s">
        <v>3487</v>
      </c>
      <c r="C13" s="13" t="s">
        <v>3488</v>
      </c>
      <c r="D13" s="13" t="s">
        <v>3489</v>
      </c>
      <c r="E13" s="13" t="s">
        <v>2723</v>
      </c>
      <c r="F13" s="13" t="s">
        <v>3490</v>
      </c>
      <c r="G13" s="13" t="s">
        <v>1387</v>
      </c>
    </row>
    <row r="14" spans="1:7" ht="41.55" customHeight="1">
      <c r="A14" s="13" t="s">
        <v>518</v>
      </c>
      <c r="B14" s="13" t="s">
        <v>3491</v>
      </c>
      <c r="C14" s="13" t="s">
        <v>3492</v>
      </c>
      <c r="D14" s="13" t="s">
        <v>3493</v>
      </c>
      <c r="E14" s="13" t="s">
        <v>2783</v>
      </c>
      <c r="F14" s="13" t="s">
        <v>3494</v>
      </c>
      <c r="G14" s="13" t="s">
        <v>747</v>
      </c>
    </row>
    <row r="15" spans="1:7" ht="41.55" customHeight="1">
      <c r="A15" s="13" t="s">
        <v>586</v>
      </c>
      <c r="B15" s="13" t="s">
        <v>3495</v>
      </c>
      <c r="C15" s="13" t="s">
        <v>3496</v>
      </c>
      <c r="D15" s="13" t="s">
        <v>3497</v>
      </c>
      <c r="E15" s="13" t="s">
        <v>2783</v>
      </c>
      <c r="F15" s="13" t="s">
        <v>3498</v>
      </c>
      <c r="G15" s="13" t="s">
        <v>1340</v>
      </c>
    </row>
    <row r="16" spans="1:7" ht="41.55" customHeight="1">
      <c r="A16" s="13" t="s">
        <v>379</v>
      </c>
      <c r="B16" s="13" t="s">
        <v>3499</v>
      </c>
      <c r="C16" s="13" t="s">
        <v>3500</v>
      </c>
      <c r="D16" s="13" t="s">
        <v>3501</v>
      </c>
      <c r="E16" s="13" t="s">
        <v>2449</v>
      </c>
      <c r="F16" s="13" t="s">
        <v>3502</v>
      </c>
      <c r="G16" s="13" t="s">
        <v>1387</v>
      </c>
    </row>
    <row r="17" spans="1:7">
      <c r="A17" s="13"/>
      <c r="B17" s="13"/>
      <c r="C17" s="13"/>
      <c r="D17" s="13"/>
      <c r="E17" s="13"/>
      <c r="F17" s="13"/>
      <c r="G17" s="13"/>
    </row>
    <row r="18" spans="1:7">
      <c r="A18" t="s">
        <v>371</v>
      </c>
      <c r="B18" t="s">
        <v>3459</v>
      </c>
      <c r="C18" t="s">
        <v>1991</v>
      </c>
      <c r="D18" t="s">
        <v>3460</v>
      </c>
      <c r="E18" t="s">
        <v>2449</v>
      </c>
      <c r="F18" t="s">
        <v>3461</v>
      </c>
      <c r="G18" t="s">
        <v>747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7"/>
  <sheetViews>
    <sheetView workbookViewId="0"/>
  </sheetViews>
  <sheetFormatPr baseColWidth="10" defaultColWidth="8.796875" defaultRowHeight="13.8"/>
  <cols>
    <col min="1" max="1" width="15" customWidth="1"/>
    <col min="2" max="2" width="25" customWidth="1"/>
    <col min="3" max="3" width="22" customWidth="1"/>
    <col min="4" max="4" width="43" customWidth="1"/>
    <col min="5" max="5" width="27" customWidth="1"/>
    <col min="6" max="6" width="42" customWidth="1"/>
    <col min="7" max="7" width="15" customWidth="1"/>
  </cols>
  <sheetData>
    <row r="1" spans="1:7" ht="82.8">
      <c r="A1" s="13" t="s">
        <v>3503</v>
      </c>
      <c r="B1" s="13"/>
      <c r="C1" s="13"/>
      <c r="D1" s="13"/>
      <c r="E1" s="13"/>
      <c r="F1" s="13"/>
      <c r="G1" s="13"/>
    </row>
    <row r="2" spans="1:7">
      <c r="A2" s="13"/>
      <c r="B2" s="13"/>
      <c r="C2" s="13"/>
      <c r="D2" s="13"/>
      <c r="E2" s="13"/>
      <c r="F2" s="13"/>
      <c r="G2" s="13"/>
    </row>
    <row r="3" spans="1:7">
      <c r="A3" s="13" t="s">
        <v>3279</v>
      </c>
      <c r="B3" s="13" t="s">
        <v>3280</v>
      </c>
      <c r="C3" s="13" t="s">
        <v>3281</v>
      </c>
      <c r="D3" s="13"/>
      <c r="E3" s="13" t="s">
        <v>3279</v>
      </c>
      <c r="F3" s="13" t="s">
        <v>3280</v>
      </c>
      <c r="G3" s="13" t="s">
        <v>3281</v>
      </c>
    </row>
    <row r="4" spans="1:7" ht="27.6">
      <c r="A4" s="13" t="s">
        <v>3463</v>
      </c>
      <c r="B4" s="13">
        <v>6</v>
      </c>
      <c r="C4" s="13" t="s">
        <v>3504</v>
      </c>
      <c r="D4" s="13"/>
      <c r="E4" s="13" t="s">
        <v>3465</v>
      </c>
      <c r="F4" s="13">
        <v>15</v>
      </c>
      <c r="G4" s="13" t="s">
        <v>3505</v>
      </c>
    </row>
    <row r="5" spans="1:7" ht="55.2">
      <c r="A5" s="13" t="s">
        <v>3467</v>
      </c>
      <c r="B5" s="13">
        <v>11</v>
      </c>
      <c r="C5" s="13" t="s">
        <v>3506</v>
      </c>
      <c r="D5" s="13"/>
      <c r="E5" s="13" t="s">
        <v>3507</v>
      </c>
      <c r="F5" s="13">
        <v>3</v>
      </c>
      <c r="G5" s="13" t="s">
        <v>3508</v>
      </c>
    </row>
    <row r="6" spans="1:7" ht="82.8">
      <c r="A6" s="13" t="s">
        <v>3509</v>
      </c>
      <c r="B6" s="13">
        <v>4</v>
      </c>
      <c r="C6" s="13" t="s">
        <v>3510</v>
      </c>
      <c r="D6" s="13"/>
      <c r="E6" s="13" t="s">
        <v>3511</v>
      </c>
      <c r="F6" s="13">
        <v>2</v>
      </c>
      <c r="G6" s="13" t="s">
        <v>3512</v>
      </c>
    </row>
    <row r="7" spans="1:7">
      <c r="A7" s="13"/>
      <c r="B7" s="13"/>
      <c r="C7" s="13"/>
      <c r="D7" s="13"/>
      <c r="E7" s="13"/>
      <c r="F7" s="13"/>
      <c r="G7" s="13"/>
    </row>
    <row r="8" spans="1:7" ht="41.4">
      <c r="A8" s="13" t="s">
        <v>3475</v>
      </c>
      <c r="B8" s="13"/>
      <c r="C8" s="13"/>
      <c r="D8" s="13"/>
      <c r="E8" s="13"/>
      <c r="F8" s="13"/>
      <c r="G8" s="13"/>
    </row>
    <row r="9" spans="1:7">
      <c r="A9" s="13"/>
      <c r="B9" s="13"/>
      <c r="C9" s="13"/>
      <c r="D9" s="13"/>
      <c r="E9" s="13"/>
      <c r="F9" s="13"/>
      <c r="G9" s="13"/>
    </row>
    <row r="10" spans="1:7" ht="43.2" customHeight="1">
      <c r="A10" s="13" t="s">
        <v>76</v>
      </c>
      <c r="B10" s="13" t="s">
        <v>2916</v>
      </c>
      <c r="C10" s="13" t="s">
        <v>639</v>
      </c>
      <c r="D10" s="13" t="s">
        <v>3476</v>
      </c>
      <c r="E10" s="13" t="s">
        <v>2424</v>
      </c>
      <c r="F10" s="13" t="s">
        <v>3351</v>
      </c>
      <c r="G10" s="13" t="s">
        <v>695</v>
      </c>
    </row>
    <row r="11" spans="1:7" ht="43.2" customHeight="1">
      <c r="A11" s="13" t="s">
        <v>424</v>
      </c>
      <c r="B11" s="13" t="s">
        <v>3513</v>
      </c>
      <c r="C11" s="13" t="s">
        <v>3514</v>
      </c>
      <c r="D11" s="13" t="s">
        <v>3515</v>
      </c>
      <c r="E11" s="13" t="s">
        <v>2449</v>
      </c>
      <c r="F11" s="13" t="s">
        <v>3516</v>
      </c>
      <c r="G11" s="13" t="s">
        <v>747</v>
      </c>
    </row>
    <row r="12" spans="1:7" ht="43.2" customHeight="1">
      <c r="A12" s="13" t="s">
        <v>471</v>
      </c>
      <c r="B12" s="13" t="s">
        <v>3459</v>
      </c>
      <c r="C12" s="13" t="s">
        <v>3517</v>
      </c>
      <c r="D12" s="13" t="s">
        <v>3518</v>
      </c>
      <c r="E12" s="13" t="s">
        <v>2505</v>
      </c>
      <c r="F12" s="13" t="s">
        <v>3519</v>
      </c>
      <c r="G12" s="13" t="s">
        <v>747</v>
      </c>
    </row>
    <row r="13" spans="1:7" ht="43.2" customHeight="1">
      <c r="A13" s="13" t="s">
        <v>481</v>
      </c>
      <c r="B13" s="13" t="s">
        <v>3513</v>
      </c>
      <c r="C13" s="13" t="s">
        <v>3520</v>
      </c>
      <c r="D13" s="13" t="s">
        <v>3521</v>
      </c>
      <c r="E13" s="13" t="s">
        <v>3522</v>
      </c>
      <c r="F13" s="13" t="s">
        <v>3523</v>
      </c>
      <c r="G13" s="13" t="s">
        <v>747</v>
      </c>
    </row>
    <row r="14" spans="1:7" ht="43.2" customHeight="1">
      <c r="A14" s="13" t="s">
        <v>491</v>
      </c>
      <c r="B14" s="13" t="s">
        <v>3513</v>
      </c>
      <c r="C14" s="13" t="s">
        <v>3524</v>
      </c>
      <c r="D14" s="13" t="s">
        <v>3525</v>
      </c>
      <c r="E14" s="13" t="s">
        <v>3526</v>
      </c>
      <c r="F14" s="13" t="s">
        <v>3527</v>
      </c>
      <c r="G14" s="13" t="s">
        <v>1387</v>
      </c>
    </row>
    <row r="15" spans="1:7" ht="43.2" customHeight="1">
      <c r="A15" s="13" t="s">
        <v>500</v>
      </c>
      <c r="B15" s="13" t="s">
        <v>3528</v>
      </c>
      <c r="C15" s="13" t="s">
        <v>3529</v>
      </c>
      <c r="D15" s="13" t="s">
        <v>3530</v>
      </c>
      <c r="E15" s="13" t="s">
        <v>2723</v>
      </c>
      <c r="F15" s="13" t="s">
        <v>3531</v>
      </c>
      <c r="G15" s="13" t="s">
        <v>1387</v>
      </c>
    </row>
    <row r="16" spans="1:7" ht="43.2" customHeight="1">
      <c r="A16" s="13" t="s">
        <v>556</v>
      </c>
      <c r="B16" s="13" t="s">
        <v>3532</v>
      </c>
      <c r="C16" s="13" t="s">
        <v>3533</v>
      </c>
      <c r="D16" s="13" t="s">
        <v>3534</v>
      </c>
      <c r="E16" s="13" t="s">
        <v>2449</v>
      </c>
      <c r="F16" s="13" t="s">
        <v>3535</v>
      </c>
      <c r="G16" s="13" t="s">
        <v>747</v>
      </c>
    </row>
    <row r="17" spans="1:7">
      <c r="A17" s="13"/>
      <c r="B17" s="13"/>
      <c r="C17" s="13"/>
      <c r="D17" s="13"/>
      <c r="E17" s="13"/>
      <c r="F17" s="13"/>
      <c r="G17" s="1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7"/>
  <sheetViews>
    <sheetView workbookViewId="0"/>
  </sheetViews>
  <sheetFormatPr baseColWidth="10" defaultColWidth="8.796875" defaultRowHeight="13.8"/>
  <cols>
    <col min="1" max="1" width="15" customWidth="1"/>
    <col min="2" max="2" width="25" customWidth="1"/>
    <col min="3" max="3" width="22" customWidth="1"/>
    <col min="4" max="4" width="44" customWidth="1"/>
    <col min="5" max="5" width="27" customWidth="1"/>
    <col min="6" max="6" width="42" customWidth="1"/>
    <col min="7" max="7" width="15" customWidth="1"/>
  </cols>
  <sheetData>
    <row r="1" spans="1:7" ht="96.6">
      <c r="A1" s="13" t="s">
        <v>3536</v>
      </c>
      <c r="B1" s="13"/>
      <c r="C1" s="13"/>
      <c r="D1" s="13"/>
      <c r="E1" s="13"/>
      <c r="F1" s="13"/>
      <c r="G1" s="13"/>
    </row>
    <row r="2" spans="1:7">
      <c r="A2" s="13"/>
      <c r="B2" s="13"/>
      <c r="C2" s="13"/>
      <c r="D2" s="13"/>
      <c r="E2" s="13"/>
      <c r="F2" s="13"/>
      <c r="G2" s="13"/>
    </row>
    <row r="3" spans="1:7">
      <c r="A3" s="13" t="s">
        <v>3279</v>
      </c>
      <c r="B3" s="13" t="s">
        <v>3280</v>
      </c>
      <c r="C3" s="13" t="s">
        <v>3281</v>
      </c>
      <c r="D3" s="13"/>
      <c r="E3" s="13" t="s">
        <v>3279</v>
      </c>
      <c r="F3" s="13" t="s">
        <v>3280</v>
      </c>
      <c r="G3" s="13" t="s">
        <v>3281</v>
      </c>
    </row>
    <row r="4" spans="1:7" ht="41.4">
      <c r="A4" s="13" t="s">
        <v>3463</v>
      </c>
      <c r="B4" s="13">
        <v>6</v>
      </c>
      <c r="C4" s="13" t="s">
        <v>3537</v>
      </c>
      <c r="D4" s="13"/>
      <c r="E4" s="13" t="s">
        <v>3465</v>
      </c>
      <c r="F4" s="13">
        <v>21</v>
      </c>
      <c r="G4" s="13" t="s">
        <v>3538</v>
      </c>
    </row>
    <row r="5" spans="1:7" ht="41.4">
      <c r="A5" s="13" t="s">
        <v>3467</v>
      </c>
      <c r="B5" s="13">
        <v>5</v>
      </c>
      <c r="C5" s="13" t="s">
        <v>3539</v>
      </c>
      <c r="D5" s="13"/>
      <c r="E5" s="13" t="s">
        <v>3507</v>
      </c>
      <c r="F5" s="13">
        <v>2</v>
      </c>
      <c r="G5" s="13" t="s">
        <v>3540</v>
      </c>
    </row>
    <row r="6" spans="1:7" ht="69">
      <c r="A6" s="13" t="s">
        <v>3541</v>
      </c>
      <c r="B6" s="13">
        <v>3</v>
      </c>
      <c r="C6" s="13" t="s">
        <v>3542</v>
      </c>
      <c r="D6" s="13"/>
      <c r="E6" s="13" t="s">
        <v>3543</v>
      </c>
      <c r="F6" s="13">
        <v>3</v>
      </c>
      <c r="G6" s="13" t="s">
        <v>3544</v>
      </c>
    </row>
    <row r="7" spans="1:7">
      <c r="A7" s="13"/>
      <c r="B7" s="13"/>
      <c r="C7" s="13"/>
      <c r="D7" s="13"/>
      <c r="E7" s="13"/>
      <c r="F7" s="13"/>
      <c r="G7" s="13"/>
    </row>
    <row r="8" spans="1:7" ht="41.4">
      <c r="A8" s="13" t="s">
        <v>3475</v>
      </c>
      <c r="B8" s="13"/>
      <c r="C8" s="13"/>
      <c r="D8" s="13"/>
      <c r="E8" s="13"/>
      <c r="F8" s="13"/>
      <c r="G8" s="13"/>
    </row>
    <row r="9" spans="1:7">
      <c r="A9" s="13"/>
      <c r="B9" s="13"/>
      <c r="C9" s="13"/>
      <c r="D9" s="13"/>
      <c r="E9" s="13"/>
      <c r="F9" s="13"/>
      <c r="G9" s="13"/>
    </row>
    <row r="10" spans="1:7" ht="43.2" customHeight="1">
      <c r="A10" s="13" t="s">
        <v>76</v>
      </c>
      <c r="B10" s="13" t="s">
        <v>2916</v>
      </c>
      <c r="C10" s="13" t="s">
        <v>639</v>
      </c>
      <c r="D10" s="13" t="s">
        <v>3476</v>
      </c>
      <c r="E10" s="13" t="s">
        <v>2424</v>
      </c>
      <c r="F10" s="13" t="s">
        <v>3351</v>
      </c>
      <c r="G10" s="13" t="s">
        <v>695</v>
      </c>
    </row>
    <row r="11" spans="1:7" ht="43.2" customHeight="1">
      <c r="A11" s="13" t="s">
        <v>442</v>
      </c>
      <c r="B11" s="13" t="s">
        <v>3545</v>
      </c>
      <c r="C11" s="13" t="s">
        <v>3546</v>
      </c>
      <c r="D11" s="13" t="s">
        <v>3547</v>
      </c>
      <c r="E11" s="13" t="s">
        <v>3548</v>
      </c>
      <c r="F11" s="13" t="s">
        <v>3549</v>
      </c>
      <c r="G11" s="13" t="s">
        <v>747</v>
      </c>
    </row>
    <row r="12" spans="1:7" ht="43.2" customHeight="1">
      <c r="A12" s="13" t="s">
        <v>461</v>
      </c>
      <c r="B12" s="13" t="s">
        <v>3550</v>
      </c>
      <c r="C12" s="13" t="s">
        <v>3551</v>
      </c>
      <c r="D12" s="13" t="s">
        <v>3552</v>
      </c>
      <c r="E12" s="13" t="s">
        <v>3522</v>
      </c>
      <c r="F12" s="13" t="s">
        <v>3553</v>
      </c>
      <c r="G12" s="13" t="s">
        <v>747</v>
      </c>
    </row>
    <row r="13" spans="1:7" ht="43.2" customHeight="1">
      <c r="A13" s="13" t="s">
        <v>537</v>
      </c>
      <c r="B13" s="13" t="s">
        <v>3554</v>
      </c>
      <c r="C13" s="13" t="s">
        <v>3555</v>
      </c>
      <c r="D13" s="13" t="s">
        <v>3556</v>
      </c>
      <c r="E13" s="13" t="s">
        <v>2449</v>
      </c>
      <c r="F13" s="13" t="s">
        <v>3557</v>
      </c>
      <c r="G13" s="13" t="s">
        <v>747</v>
      </c>
    </row>
    <row r="14" spans="1:7" ht="43.2" customHeight="1">
      <c r="A14" s="13" t="s">
        <v>595</v>
      </c>
      <c r="B14" s="13" t="s">
        <v>3558</v>
      </c>
      <c r="C14" s="13" t="s">
        <v>3559</v>
      </c>
      <c r="D14" s="13" t="s">
        <v>3560</v>
      </c>
      <c r="E14" s="13" t="s">
        <v>2844</v>
      </c>
      <c r="F14" s="13" t="s">
        <v>3561</v>
      </c>
      <c r="G14" s="13" t="s">
        <v>2324</v>
      </c>
    </row>
    <row r="15" spans="1:7" ht="43.2" customHeight="1">
      <c r="A15" s="13" t="s">
        <v>616</v>
      </c>
      <c r="B15" s="13" t="s">
        <v>3562</v>
      </c>
      <c r="C15" s="13" t="s">
        <v>3563</v>
      </c>
      <c r="D15" s="13" t="s">
        <v>3564</v>
      </c>
      <c r="E15" s="13" t="s">
        <v>2449</v>
      </c>
      <c r="F15" s="13" t="s">
        <v>3565</v>
      </c>
      <c r="G15" s="13" t="s">
        <v>747</v>
      </c>
    </row>
    <row r="16" spans="1:7" ht="43.2" customHeight="1">
      <c r="A16" s="13" t="s">
        <v>625</v>
      </c>
      <c r="B16" s="13" t="s">
        <v>3566</v>
      </c>
      <c r="C16" s="13" t="s">
        <v>3567</v>
      </c>
      <c r="D16" s="13" t="s">
        <v>3568</v>
      </c>
      <c r="E16" s="13" t="s">
        <v>2844</v>
      </c>
      <c r="F16" s="13" t="s">
        <v>3569</v>
      </c>
      <c r="G16" s="13" t="s">
        <v>1387</v>
      </c>
    </row>
    <row r="17" spans="1:7">
      <c r="A17" s="13"/>
      <c r="B17" s="13"/>
      <c r="C17" s="13"/>
      <c r="D17" s="13"/>
      <c r="E17" s="13"/>
      <c r="F17" s="13"/>
      <c r="G17" s="1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6"/>
  <sheetViews>
    <sheetView workbookViewId="0"/>
  </sheetViews>
  <sheetFormatPr baseColWidth="10" defaultColWidth="8.796875" defaultRowHeight="13.8"/>
  <cols>
    <col min="1" max="1" width="15" customWidth="1"/>
    <col min="2" max="3" width="24" customWidth="1"/>
    <col min="4" max="4" width="44" customWidth="1"/>
    <col min="5" max="5" width="28" customWidth="1"/>
    <col min="6" max="6" width="42" customWidth="1"/>
    <col min="7" max="7" width="15" customWidth="1"/>
  </cols>
  <sheetData>
    <row r="1" spans="1:7" ht="96.6">
      <c r="A1" s="13" t="s">
        <v>3570</v>
      </c>
      <c r="B1" s="13"/>
      <c r="C1" s="13"/>
      <c r="D1" s="13"/>
      <c r="E1" s="13"/>
      <c r="F1" s="13"/>
      <c r="G1" s="13"/>
    </row>
    <row r="2" spans="1:7">
      <c r="A2" s="13"/>
      <c r="B2" s="13"/>
      <c r="C2" s="13"/>
      <c r="D2" s="13"/>
      <c r="E2" s="13"/>
      <c r="F2" s="13"/>
      <c r="G2" s="13"/>
    </row>
    <row r="3" spans="1:7">
      <c r="A3" s="13" t="s">
        <v>3279</v>
      </c>
      <c r="B3" s="13" t="s">
        <v>3280</v>
      </c>
      <c r="C3" s="13" t="s">
        <v>3281</v>
      </c>
      <c r="D3" s="13"/>
      <c r="E3" s="13" t="s">
        <v>3279</v>
      </c>
      <c r="F3" s="13" t="s">
        <v>3280</v>
      </c>
      <c r="G3" s="13" t="s">
        <v>3281</v>
      </c>
    </row>
    <row r="4" spans="1:7" ht="55.2">
      <c r="A4" s="13" t="s">
        <v>3463</v>
      </c>
      <c r="B4" s="13">
        <v>5</v>
      </c>
      <c r="C4" s="13" t="s">
        <v>3539</v>
      </c>
      <c r="D4" s="13"/>
      <c r="E4" s="13" t="s">
        <v>3465</v>
      </c>
      <c r="F4" s="13">
        <v>26</v>
      </c>
      <c r="G4" s="13" t="s">
        <v>3571</v>
      </c>
    </row>
    <row r="5" spans="1:7" ht="55.2">
      <c r="A5" s="13" t="s">
        <v>3572</v>
      </c>
      <c r="B5" s="13">
        <v>55</v>
      </c>
      <c r="C5" s="13" t="s">
        <v>3573</v>
      </c>
      <c r="D5" s="13"/>
      <c r="E5" s="13" t="s">
        <v>3574</v>
      </c>
      <c r="F5" s="13">
        <v>1</v>
      </c>
      <c r="G5" s="13" t="s">
        <v>3575</v>
      </c>
    </row>
    <row r="6" spans="1:7" ht="41.4">
      <c r="A6" s="13" t="s">
        <v>3576</v>
      </c>
      <c r="B6" s="13">
        <v>2</v>
      </c>
      <c r="C6" s="13" t="s">
        <v>3577</v>
      </c>
      <c r="D6" s="13"/>
      <c r="E6" s="13" t="s">
        <v>3578</v>
      </c>
      <c r="F6" s="13">
        <v>3</v>
      </c>
      <c r="G6" s="13" t="s">
        <v>3579</v>
      </c>
    </row>
    <row r="7" spans="1:7">
      <c r="A7" s="13"/>
      <c r="B7" s="13"/>
      <c r="C7" s="13"/>
      <c r="D7" s="13"/>
      <c r="E7" s="13"/>
      <c r="F7" s="13"/>
      <c r="G7" s="13"/>
    </row>
    <row r="8" spans="1:7" ht="41.4">
      <c r="A8" s="13" t="s">
        <v>3475</v>
      </c>
      <c r="B8" s="13"/>
      <c r="C8" s="13"/>
      <c r="D8" s="13"/>
      <c r="E8" s="13"/>
      <c r="F8" s="13"/>
      <c r="G8" s="13"/>
    </row>
    <row r="9" spans="1:7">
      <c r="A9" s="13"/>
      <c r="B9" s="13"/>
      <c r="C9" s="13"/>
      <c r="D9" s="13"/>
      <c r="E9" s="13"/>
      <c r="F9" s="13"/>
      <c r="G9" s="13"/>
    </row>
    <row r="10" spans="1:7" ht="44.85" customHeight="1">
      <c r="A10" s="13" t="s">
        <v>76</v>
      </c>
      <c r="B10" s="13" t="s">
        <v>2916</v>
      </c>
      <c r="C10" s="13" t="s">
        <v>3580</v>
      </c>
      <c r="D10" s="13" t="s">
        <v>3476</v>
      </c>
      <c r="E10" s="13" t="s">
        <v>2424</v>
      </c>
      <c r="F10" s="13" t="s">
        <v>3351</v>
      </c>
      <c r="G10" s="13" t="s">
        <v>695</v>
      </c>
    </row>
    <row r="11" spans="1:7" ht="44.85" customHeight="1">
      <c r="A11" s="13" t="s">
        <v>412</v>
      </c>
      <c r="B11" s="13" t="s">
        <v>3581</v>
      </c>
      <c r="C11" s="13" t="s">
        <v>3582</v>
      </c>
      <c r="D11" s="13" t="s">
        <v>3583</v>
      </c>
      <c r="E11" s="13" t="s">
        <v>3584</v>
      </c>
      <c r="F11" s="13" t="s">
        <v>3585</v>
      </c>
      <c r="G11" s="13" t="s">
        <v>747</v>
      </c>
    </row>
    <row r="12" spans="1:7" ht="44.85" customHeight="1">
      <c r="A12" s="13" t="s">
        <v>434</v>
      </c>
      <c r="B12" s="13" t="s">
        <v>3581</v>
      </c>
      <c r="C12" s="13" t="s">
        <v>3586</v>
      </c>
      <c r="D12" s="13" t="s">
        <v>3587</v>
      </c>
      <c r="E12" s="13" t="s">
        <v>3588</v>
      </c>
      <c r="F12" s="13" t="s">
        <v>3589</v>
      </c>
      <c r="G12" s="13" t="s">
        <v>747</v>
      </c>
    </row>
    <row r="13" spans="1:7" ht="44.85" customHeight="1">
      <c r="A13" s="13" t="s">
        <v>566</v>
      </c>
      <c r="B13" s="13" t="s">
        <v>3412</v>
      </c>
      <c r="C13" s="13" t="s">
        <v>3590</v>
      </c>
      <c r="D13" s="13" t="s">
        <v>3591</v>
      </c>
      <c r="E13" s="13" t="s">
        <v>3592</v>
      </c>
      <c r="F13" s="13" t="s">
        <v>3593</v>
      </c>
      <c r="G13" s="13" t="s">
        <v>1387</v>
      </c>
    </row>
    <row r="14" spans="1:7" ht="44.85" customHeight="1">
      <c r="A14" s="13" t="s">
        <v>577</v>
      </c>
      <c r="B14" s="13" t="s">
        <v>3594</v>
      </c>
      <c r="C14" s="13" t="s">
        <v>3595</v>
      </c>
      <c r="D14" s="13" t="s">
        <v>3596</v>
      </c>
      <c r="E14" s="13" t="s">
        <v>2449</v>
      </c>
      <c r="F14" s="13" t="s">
        <v>3597</v>
      </c>
      <c r="G14" s="13" t="s">
        <v>747</v>
      </c>
    </row>
    <row r="15" spans="1:7" ht="44.85" customHeight="1">
      <c r="A15" s="13" t="s">
        <v>607</v>
      </c>
      <c r="B15" s="13" t="s">
        <v>3598</v>
      </c>
      <c r="C15" s="13" t="s">
        <v>3599</v>
      </c>
      <c r="D15" s="13" t="s">
        <v>3600</v>
      </c>
      <c r="E15" s="13" t="s">
        <v>2505</v>
      </c>
      <c r="F15" s="13" t="s">
        <v>3601</v>
      </c>
      <c r="G15" s="13" t="s">
        <v>747</v>
      </c>
    </row>
    <row r="16" spans="1:7">
      <c r="A16" s="13"/>
      <c r="B16" s="13"/>
      <c r="C16" s="13"/>
      <c r="D16" s="13"/>
      <c r="E16" s="13"/>
      <c r="F16" s="13"/>
      <c r="G16"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00_README</vt:lpstr>
      <vt:lpstr>01_MASTER_55</vt:lpstr>
      <vt:lpstr>02_CORE_29</vt:lpstr>
      <vt:lpstr>03_COMPLEMENTARY_26</vt:lpstr>
      <vt:lpstr>04_CODEBOOK</vt:lpstr>
      <vt:lpstr>05_REPRODUCIBILITY</vt:lpstr>
      <vt:lpstr>06_QUALITY_CONTROL</vt:lpstr>
      <vt:lpstr>07_PILOT_SUMMARY</vt:lpstr>
      <vt:lpstr>08_BATCH2_SUMMARY</vt:lpstr>
      <vt:lpstr>09_BATCH3_SUMMARY</vt:lpstr>
      <vt:lpstr>10_BATCH4_SUMMARY</vt:lpstr>
      <vt:lpstr>11_COMP_BATCH1</vt:lpstr>
      <vt:lpstr>12_COMP_BATCH2</vt:lpstr>
      <vt:lpstr>13_COMP_BATCH3</vt:lpstr>
      <vt:lpstr>14_COMP_BATCH4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Suárez</dc:creator>
  <cp:lastModifiedBy>Carlos Rene  Suarez Suarez</cp:lastModifiedBy>
  <dcterms:created xsi:type="dcterms:W3CDTF">2026-08-02T02:43:44Z</dcterms:created>
  <dcterms:modified xsi:type="dcterms:W3CDTF">2026-08-02T02:43:44Z</dcterms:modified>
</cp:coreProperties>
</file>